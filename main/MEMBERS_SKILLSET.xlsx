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ChatAI\"/>
    </mc:Choice>
  </mc:AlternateContent>
  <xr:revisionPtr revIDLastSave="0" documentId="8_{080E8A5B-819F-41F9-BE10-6FC5929179FD}" xr6:coauthVersionLast="47" xr6:coauthVersionMax="47" xr10:uidLastSave="{00000000-0000-0000-0000-000000000000}"/>
  <bookViews>
    <workbookView xWindow="-28920" yWindow="-4800" windowWidth="29040" windowHeight="15720" tabRatio="246" xr2:uid="{AF8444F4-9787-4299-BDF6-634258F273AF}"/>
  </bookViews>
  <sheets>
    <sheet name="Skillset" sheetId="3" r:id="rId1"/>
  </sheets>
  <definedNames>
    <definedName name="_xlnm._FilterDatabase" localSheetId="0" hidden="1">Skillset!$B$4:$GP$20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P7" i="3" l="1"/>
  <c r="GP8" i="3"/>
  <c r="GP5" i="3"/>
  <c r="GP6" i="3"/>
  <c r="CS18" i="3" l="1"/>
  <c r="GM17" i="3"/>
  <c r="GO17" i="3" l="1"/>
  <c r="EI17" i="3" l="1"/>
  <c r="EH17" i="3"/>
  <c r="CS17" i="3" l="1"/>
  <c r="CS19" i="3"/>
  <c r="Z17" i="3"/>
  <c r="AA17" i="3"/>
  <c r="Z18" i="3"/>
  <c r="AA18" i="3"/>
  <c r="Z19" i="3"/>
  <c r="AA19" i="3"/>
  <c r="CS20" i="3" l="1"/>
  <c r="AA20" i="3"/>
  <c r="Z20" i="3"/>
  <c r="EO17" i="3" l="1"/>
  <c r="EP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FS17" i="3"/>
  <c r="FT17" i="3"/>
  <c r="FU17" i="3"/>
  <c r="FV17" i="3"/>
  <c r="FW17" i="3"/>
  <c r="FX17" i="3"/>
  <c r="FY17" i="3"/>
  <c r="FZ17" i="3"/>
  <c r="GA17" i="3"/>
  <c r="GB17" i="3"/>
  <c r="GC17" i="3"/>
  <c r="GD17" i="3"/>
  <c r="GE17" i="3"/>
  <c r="GF17" i="3"/>
  <c r="GG17" i="3"/>
  <c r="GH17" i="3"/>
  <c r="GI17" i="3"/>
  <c r="GJ17" i="3"/>
  <c r="GK17" i="3"/>
  <c r="GL17" i="3"/>
  <c r="GN17" i="3"/>
  <c r="EK17" i="3"/>
  <c r="EL17" i="3"/>
  <c r="EM17" i="3"/>
  <c r="EN17" i="3"/>
  <c r="EJ17" i="3"/>
  <c r="EB17" i="3"/>
  <c r="EB18" i="3"/>
  <c r="EH18" i="3"/>
  <c r="EC17" i="3"/>
  <c r="ED17" i="3"/>
  <c r="EE17" i="3"/>
  <c r="EF17" i="3"/>
  <c r="EG17" i="3"/>
  <c r="EC18" i="3"/>
  <c r="ED18" i="3"/>
  <c r="EE18" i="3"/>
  <c r="EF18" i="3"/>
  <c r="EG18" i="3"/>
  <c r="EI18" i="3"/>
  <c r="EC19" i="3"/>
  <c r="ED19" i="3"/>
  <c r="EE19" i="3"/>
  <c r="EF19" i="3"/>
  <c r="EG19" i="3"/>
  <c r="EH19" i="3"/>
  <c r="EI19" i="3"/>
  <c r="EB19" i="3"/>
  <c r="DX17" i="3"/>
  <c r="DY17" i="3"/>
  <c r="DZ17" i="3"/>
  <c r="DX18" i="3"/>
  <c r="DY18" i="3"/>
  <c r="DZ18" i="3"/>
  <c r="DX19" i="3"/>
  <c r="DY19" i="3"/>
  <c r="DZ19" i="3"/>
  <c r="DW19" i="3"/>
  <c r="DW18" i="3"/>
  <c r="DW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AB17" i="3"/>
  <c r="AC17" i="3"/>
  <c r="AD17" i="3"/>
  <c r="AE17" i="3"/>
  <c r="AF17" i="3"/>
  <c r="AG17" i="3"/>
  <c r="AH17" i="3"/>
  <c r="AI17" i="3"/>
  <c r="AJ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AB18" i="3"/>
  <c r="AC18" i="3"/>
  <c r="AD18" i="3"/>
  <c r="AE18" i="3"/>
  <c r="AF18" i="3"/>
  <c r="AG18" i="3"/>
  <c r="AH18" i="3"/>
  <c r="AI18" i="3"/>
  <c r="AJ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AB19" i="3"/>
  <c r="AC19" i="3"/>
  <c r="AD19" i="3"/>
  <c r="AE19" i="3"/>
  <c r="AF19" i="3"/>
  <c r="AG19" i="3"/>
  <c r="AH19" i="3"/>
  <c r="AI19" i="3"/>
  <c r="AJ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L19" i="3"/>
  <c r="L17" i="3"/>
  <c r="L18" i="3"/>
  <c r="GP17" i="3" l="1"/>
  <c r="EB20" i="3"/>
  <c r="R20" i="3" l="1"/>
  <c r="EE20" i="3" l="1"/>
  <c r="EF20" i="3"/>
  <c r="ED20" i="3"/>
  <c r="EG20" i="3"/>
  <c r="EH20" i="3"/>
  <c r="EC20" i="3"/>
  <c r="L20" i="3" l="1"/>
  <c r="AH20" i="3" l="1"/>
  <c r="AI20" i="3"/>
  <c r="AJ20" i="3"/>
  <c r="BC20" i="3"/>
  <c r="DO20" i="3"/>
  <c r="DP20" i="3"/>
  <c r="DQ20" i="3"/>
  <c r="DR20" i="3"/>
  <c r="DS20" i="3"/>
  <c r="DY20" i="3"/>
  <c r="DZ20" i="3"/>
  <c r="AF20" i="3" l="1"/>
  <c r="AG20" i="3"/>
  <c r="AK18" i="3" l="1"/>
  <c r="AK19" i="3"/>
  <c r="AK17" i="3"/>
  <c r="BD20" i="3"/>
  <c r="BH20" i="3"/>
  <c r="BE20" i="3"/>
  <c r="BF20" i="3"/>
  <c r="BG20" i="3"/>
  <c r="BI20" i="3"/>
  <c r="AD20" i="3"/>
  <c r="AL20" i="3"/>
  <c r="AM20" i="3"/>
  <c r="AN20" i="3"/>
  <c r="AO20" i="3"/>
  <c r="AP20" i="3"/>
  <c r="AQ20" i="3"/>
  <c r="AR20" i="3"/>
  <c r="X20" i="3"/>
  <c r="AE20" i="3"/>
  <c r="AS20" i="3"/>
  <c r="AC20" i="3"/>
  <c r="AB20" i="3"/>
  <c r="W20" i="3"/>
  <c r="V20" i="3"/>
  <c r="T20" i="3"/>
  <c r="U20" i="3"/>
  <c r="AK20" i="3" l="1"/>
  <c r="Y20" i="3" l="1"/>
  <c r="DM20" i="3" l="1"/>
  <c r="AY20" i="3"/>
  <c r="BM20" i="3"/>
  <c r="BU20" i="3"/>
  <c r="CB20" i="3"/>
  <c r="CK20" i="3"/>
  <c r="CT20" i="3"/>
  <c r="DB20" i="3"/>
  <c r="DJ20" i="3"/>
  <c r="AZ20" i="3"/>
  <c r="BN20" i="3"/>
  <c r="CC20" i="3"/>
  <c r="CL20" i="3"/>
  <c r="CU20" i="3"/>
  <c r="DC20" i="3"/>
  <c r="DK20" i="3"/>
  <c r="BO20" i="3"/>
  <c r="CV20" i="3"/>
  <c r="BW20" i="3"/>
  <c r="DE20" i="3"/>
  <c r="BQ20" i="3"/>
  <c r="BX20" i="3"/>
  <c r="CF20" i="3"/>
  <c r="CO20" i="3"/>
  <c r="CX20" i="3"/>
  <c r="DF20" i="3"/>
  <c r="BA20" i="3"/>
  <c r="CD20" i="3"/>
  <c r="DD20" i="3"/>
  <c r="BP20" i="3"/>
  <c r="CE20" i="3"/>
  <c r="AV20" i="3"/>
  <c r="BJ20" i="3"/>
  <c r="BR20" i="3"/>
  <c r="BY20" i="3"/>
  <c r="CG20" i="3"/>
  <c r="CP20" i="3"/>
  <c r="CY20" i="3"/>
  <c r="DG20" i="3"/>
  <c r="DN20" i="3"/>
  <c r="CM20" i="3"/>
  <c r="BB20" i="3"/>
  <c r="CW20" i="3"/>
  <c r="AW20" i="3"/>
  <c r="BK20" i="3"/>
  <c r="BS20" i="3"/>
  <c r="BZ20" i="3"/>
  <c r="CH20" i="3"/>
  <c r="CQ20" i="3"/>
  <c r="CZ20" i="3"/>
  <c r="DH20" i="3"/>
  <c r="DT20" i="3"/>
  <c r="AT20" i="3"/>
  <c r="BV20" i="3"/>
  <c r="DL20" i="3"/>
  <c r="AU20" i="3"/>
  <c r="CN20" i="3"/>
  <c r="AX20" i="3"/>
  <c r="BL20" i="3"/>
  <c r="BT20" i="3"/>
  <c r="CA20" i="3"/>
  <c r="CJ20" i="3"/>
  <c r="CR20" i="3"/>
  <c r="DA20" i="3"/>
  <c r="DI20" i="3"/>
  <c r="DU20" i="3"/>
  <c r="Q20" i="3" l="1"/>
  <c r="S20" i="3"/>
  <c r="O20" i="3"/>
  <c r="P20" i="3"/>
  <c r="M20" i="3"/>
  <c r="N20" i="3"/>
  <c r="DX20" i="3" l="1"/>
  <c r="DW20" i="3"/>
  <c r="EI20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Mohd Shato, Zurianna Binti</author>
    <author>tc={F5B428B4-E926-43D2-AF3E-50DB3B01FB49}</author>
    <author>tc={23D2E1D8-1430-47C2-A9CF-3EC837837147}</author>
    <author>tc={6FB84628-B300-4A48-ADCD-5102A0912B15}</author>
  </authors>
  <commentList>
    <comment ref="Z4" authorId="0" shapeId="0" xr:uid="{5DCFE38B-B9D3-438C-99B3-7686E4538AD8}">
      <text>
        <r>
          <rPr>
            <b/>
            <sz val="9"/>
            <color indexed="81"/>
            <rFont val="Tahoma"/>
            <family val="2"/>
          </rPr>
          <t>Mohd Shato, Zurianna Binti:</t>
        </r>
        <r>
          <rPr>
            <sz val="9"/>
            <color indexed="81"/>
            <rFont val="Tahoma"/>
            <family val="2"/>
          </rPr>
          <t xml:space="preserve">
New</t>
        </r>
      </text>
    </comment>
    <comment ref="AA4" authorId="0" shapeId="0" xr:uid="{7C683BD4-E888-4BE9-888E-3C53E9E1856B}">
      <text>
        <r>
          <rPr>
            <b/>
            <sz val="9"/>
            <color indexed="81"/>
            <rFont val="Tahoma"/>
            <family val="2"/>
          </rPr>
          <t>Mohd Shato, Zurianna Binti:</t>
        </r>
        <r>
          <rPr>
            <sz val="9"/>
            <color indexed="81"/>
            <rFont val="Tahoma"/>
            <family val="2"/>
          </rPr>
          <t xml:space="preserve">
New</t>
        </r>
      </text>
    </comment>
    <comment ref="AG4" authorId="0" shapeId="0" xr:uid="{2B224383-3CBD-4E8E-809C-C9BD6BF71974}">
      <text>
        <r>
          <rPr>
            <b/>
            <sz val="9"/>
            <color indexed="81"/>
            <rFont val="Tahoma"/>
            <family val="2"/>
          </rPr>
          <t>Mohd Shato, Zurianna Binti:</t>
        </r>
        <r>
          <rPr>
            <sz val="9"/>
            <color indexed="81"/>
            <rFont val="Tahoma"/>
            <family val="2"/>
          </rPr>
          <t xml:space="preserve">
New Field</t>
        </r>
      </text>
    </comment>
    <comment ref="AH4" authorId="0" shapeId="0" xr:uid="{B70F0CC2-333C-42E8-9391-0D4A81224ABC}">
      <text>
        <r>
          <rPr>
            <b/>
            <sz val="9"/>
            <color indexed="81"/>
            <rFont val="Tahoma"/>
            <family val="2"/>
          </rPr>
          <t>Mohd Shato, Zurianna Binti:</t>
        </r>
        <r>
          <rPr>
            <sz val="9"/>
            <color indexed="81"/>
            <rFont val="Tahoma"/>
            <family val="2"/>
          </rPr>
          <t xml:space="preserve">
New</t>
        </r>
      </text>
    </comment>
    <comment ref="AI4" authorId="0" shapeId="0" xr:uid="{96E7D4F5-003A-4D1E-B64F-DB21480C2818}">
      <text>
        <r>
          <rPr>
            <b/>
            <sz val="9"/>
            <color indexed="81"/>
            <rFont val="Tahoma"/>
            <family val="2"/>
          </rPr>
          <t>Mohd Shato, Zurianna Binti:</t>
        </r>
        <r>
          <rPr>
            <sz val="9"/>
            <color indexed="81"/>
            <rFont val="Tahoma"/>
            <family val="2"/>
          </rPr>
          <t xml:space="preserve">
New</t>
        </r>
      </text>
    </comment>
    <comment ref="AJ4" authorId="0" shapeId="0" xr:uid="{0D309409-135F-4A86-B63C-D3B50E4383F0}">
      <text>
        <r>
          <rPr>
            <b/>
            <sz val="9"/>
            <color indexed="81"/>
            <rFont val="Tahoma"/>
            <family val="2"/>
          </rPr>
          <t>Mohd Shato, Zurianna Binti:</t>
        </r>
        <r>
          <rPr>
            <sz val="9"/>
            <color indexed="81"/>
            <rFont val="Tahoma"/>
            <family val="2"/>
          </rPr>
          <t xml:space="preserve">
New</t>
        </r>
      </text>
    </comment>
    <comment ref="CS4" authorId="0" shapeId="0" xr:uid="{D7C6A28D-1E0C-4CB5-88D4-6D77FADAA80D}">
      <text>
        <r>
          <rPr>
            <b/>
            <sz val="9"/>
            <color indexed="81"/>
            <rFont val="Tahoma"/>
            <family val="2"/>
          </rPr>
          <t>Mohd Shato, Zurianna Binti:New</t>
        </r>
      </text>
    </comment>
    <comment ref="DO4" authorId="0" shapeId="0" xr:uid="{6C3E3D0B-1B06-4750-806F-682E7DCD94A5}">
      <text>
        <r>
          <rPr>
            <b/>
            <sz val="9"/>
            <color indexed="81"/>
            <rFont val="Tahoma"/>
            <family val="2"/>
          </rPr>
          <t>Mohd Shato, Zurianna Binti:</t>
        </r>
        <r>
          <rPr>
            <sz val="9"/>
            <color indexed="81"/>
            <rFont val="Tahoma"/>
            <family val="2"/>
          </rPr>
          <t xml:space="preserve">
New</t>
        </r>
      </text>
    </comment>
    <comment ref="DP4" authorId="0" shapeId="0" xr:uid="{FD896C8F-6343-49B8-8FE1-E4F8A21F7F12}">
      <text>
        <r>
          <rPr>
            <b/>
            <sz val="9"/>
            <color indexed="81"/>
            <rFont val="Tahoma"/>
            <family val="2"/>
          </rPr>
          <t>Mohd Shato, Zurianna Binti:</t>
        </r>
        <r>
          <rPr>
            <sz val="9"/>
            <color indexed="81"/>
            <rFont val="Tahoma"/>
            <family val="2"/>
          </rPr>
          <t xml:space="preserve">
New</t>
        </r>
      </text>
    </comment>
    <comment ref="DQ4" authorId="0" shapeId="0" xr:uid="{5A65DED2-A29E-4BDF-BCF1-D59DED34D8C4}">
      <text>
        <r>
          <rPr>
            <b/>
            <sz val="9"/>
            <color indexed="81"/>
            <rFont val="Tahoma"/>
            <family val="2"/>
          </rPr>
          <t>Mohd Shato, Zurianna Binti:</t>
        </r>
        <r>
          <rPr>
            <sz val="9"/>
            <color indexed="81"/>
            <rFont val="Tahoma"/>
            <family val="2"/>
          </rPr>
          <t xml:space="preserve">
New</t>
        </r>
      </text>
    </comment>
    <comment ref="DR4" authorId="0" shapeId="0" xr:uid="{9F7FB076-10AD-416C-B59A-89D1BBAB54D6}">
      <text>
        <r>
          <rPr>
            <b/>
            <sz val="9"/>
            <color indexed="81"/>
            <rFont val="Tahoma"/>
            <family val="2"/>
          </rPr>
          <t>Mohd Shato, Zurianna Binti:</t>
        </r>
        <r>
          <rPr>
            <sz val="9"/>
            <color indexed="81"/>
            <rFont val="Tahoma"/>
            <family val="2"/>
          </rPr>
          <t xml:space="preserve">
New</t>
        </r>
      </text>
    </comment>
    <comment ref="DS4" authorId="0" shapeId="0" xr:uid="{031CB5DA-6C73-43DF-A12F-F10434F0FE25}">
      <text>
        <r>
          <rPr>
            <b/>
            <sz val="9"/>
            <color indexed="81"/>
            <rFont val="Tahoma"/>
            <family val="2"/>
          </rPr>
          <t>Mohd Shato, Zurianna Binti:</t>
        </r>
        <r>
          <rPr>
            <sz val="9"/>
            <color indexed="81"/>
            <rFont val="Tahoma"/>
            <family val="2"/>
          </rPr>
          <t xml:space="preserve">
New</t>
        </r>
      </text>
    </comment>
    <comment ref="DZ4" authorId="0" shapeId="0" xr:uid="{466E45B5-B460-4C24-B905-FCE9E2B32F1E}">
      <text>
        <r>
          <rPr>
            <b/>
            <sz val="9"/>
            <color indexed="81"/>
            <rFont val="Tahoma"/>
            <family val="2"/>
          </rPr>
          <t>Mohd Shato, Zurianna Binti:</t>
        </r>
        <r>
          <rPr>
            <sz val="9"/>
            <color indexed="81"/>
            <rFont val="Tahoma"/>
            <family val="2"/>
          </rPr>
          <t xml:space="preserve">
Project with PM or without PM - SV/SSE helping on project management task such as project's reporting, manage WBS &amp; task and manage team members</t>
        </r>
      </text>
    </comment>
    <comment ref="R5" authorId="1" shapeId="0" xr:uid="{F5B428B4-E926-43D2-AF3E-50DB3B01FB49}">
      <text>
        <t>[Threaded comment]
Your version of Excel allows you to read this threaded comment; however, any edits to it will get removed if the file is opened in a newer version of Excel. Learn more: https://go.microsoft.com/fwlink/?linkid=870924
Comment:
    While under SSS</t>
      </text>
    </comment>
    <comment ref="CM36" authorId="2" shapeId="0" xr:uid="{23D2E1D8-1430-47C2-A9CF-3EC837837147}">
      <text>
        <t>[Threaded comment]
Your version of Excel allows you to read this threaded comment; however, any edits to it will get removed if the file is opened in a newer version of Excel. Learn more: https://go.microsoft.com/fwlink/?linkid=870924
Comment:
    JMeter</t>
      </text>
    </comment>
    <comment ref="CT36" authorId="3" shapeId="0" xr:uid="{6FB84628-B300-4A48-ADCD-5102A0912B15}">
      <text>
        <t>[Threaded comment]
Your version of Excel allows you to read this threaded comment; however, any edits to it will get removed if the file is opened in a newer version of Excel. Learn more: https://go.microsoft.com/fwlink/?linkid=870924
Comment:
    Flutter</t>
      </text>
    </comment>
  </commentList>
</comments>
</file>

<file path=xl/sharedStrings.xml><?xml version="1.0" encoding="utf-8"?>
<sst xmlns="http://schemas.openxmlformats.org/spreadsheetml/2006/main" count="535" uniqueCount="266">
  <si>
    <t xml:space="preserve">Developer Skillset </t>
  </si>
  <si>
    <t>Top 3 Skillset</t>
  </si>
  <si>
    <t>SDEM Phase / Agile skills</t>
  </si>
  <si>
    <t>Technical skill</t>
    <phoneticPr fontId="2"/>
  </si>
  <si>
    <t>Project Management</t>
  </si>
  <si>
    <t>Industry Knowledge</t>
  </si>
  <si>
    <t>Spoken Language</t>
  </si>
  <si>
    <t>Certificate (Yes/No)</t>
  </si>
  <si>
    <t>Certification</t>
  </si>
  <si>
    <t>Upstream (RD,UI, SS)</t>
  </si>
  <si>
    <t>Development (PG PT)</t>
  </si>
  <si>
    <t>Integration Test (IT)</t>
  </si>
  <si>
    <t>System Test (ST)</t>
  </si>
  <si>
    <t>Agile</t>
  </si>
  <si>
    <t>Language skill</t>
  </si>
  <si>
    <t>Package Knowledge</t>
  </si>
  <si>
    <t>SS Experience</t>
  </si>
  <si>
    <t>IT Experience</t>
  </si>
  <si>
    <t>BI Tool</t>
  </si>
  <si>
    <t>Application Testing Services</t>
  </si>
  <si>
    <t>Mobile Application Development</t>
  </si>
  <si>
    <t>Application Managed Services</t>
  </si>
  <si>
    <t>Cloud technologies</t>
  </si>
  <si>
    <t>Public Cloud Platforms</t>
  </si>
  <si>
    <t>Other Cloud Related</t>
  </si>
  <si>
    <t>Infra</t>
  </si>
  <si>
    <t>*For Project Manager only</t>
  </si>
  <si>
    <t>Mandarin / Chinese</t>
  </si>
  <si>
    <t>Japanese</t>
  </si>
  <si>
    <t xml:space="preserve">Microsoft </t>
  </si>
  <si>
    <t>PM</t>
  </si>
  <si>
    <t>AI / Data Science</t>
  </si>
  <si>
    <t>Cloud</t>
  </si>
  <si>
    <t>3S</t>
  </si>
  <si>
    <t>Others</t>
  </si>
  <si>
    <t>Update Date</t>
  </si>
  <si>
    <t>Name</t>
  </si>
  <si>
    <t>Zinzai ID</t>
  </si>
  <si>
    <t>Service Line</t>
  </si>
  <si>
    <t>SV</t>
  </si>
  <si>
    <t>Reporting Manager</t>
  </si>
  <si>
    <t>Level</t>
  </si>
  <si>
    <t>Top 1</t>
  </si>
  <si>
    <t>Top 2</t>
  </si>
  <si>
    <t>Top 3</t>
  </si>
  <si>
    <t xml:space="preserve">RD Requirement definition </t>
  </si>
  <si>
    <t>UI Design</t>
  </si>
  <si>
    <t>SS System Structure Design</t>
  </si>
  <si>
    <t>PG Coding</t>
  </si>
  <si>
    <t>PT</t>
  </si>
  <si>
    <t xml:space="preserve">IT </t>
  </si>
  <si>
    <t xml:space="preserve">ST </t>
  </si>
  <si>
    <t>ASP.NET</t>
  </si>
  <si>
    <t>VB.Net</t>
  </si>
  <si>
    <t>C</t>
  </si>
  <si>
    <t>C#</t>
    <phoneticPr fontId="2"/>
  </si>
  <si>
    <t>C++</t>
  </si>
  <si>
    <t>Java</t>
    <phoneticPr fontId="2"/>
  </si>
  <si>
    <t>Eclipse</t>
  </si>
  <si>
    <t>Interstage</t>
  </si>
  <si>
    <t>Java Script</t>
  </si>
  <si>
    <t>HTML5</t>
  </si>
  <si>
    <t>PHP</t>
  </si>
  <si>
    <t>Python</t>
  </si>
  <si>
    <t>Nodejs</t>
  </si>
  <si>
    <t>VBA</t>
  </si>
  <si>
    <t>CSS</t>
  </si>
  <si>
    <t>Jquery</t>
  </si>
  <si>
    <t>Vue.js</t>
  </si>
  <si>
    <t>IntarFrm
(VB)</t>
  </si>
  <si>
    <t>IntarFrm
(Java)</t>
  </si>
  <si>
    <t>Fiori</t>
  </si>
  <si>
    <t>MS SQL Server</t>
  </si>
  <si>
    <t>Oracle DB</t>
  </si>
  <si>
    <t>MYSQL</t>
  </si>
  <si>
    <t>PL SQL</t>
  </si>
  <si>
    <t>PostgreSQL</t>
  </si>
  <si>
    <t>Stored Proc</t>
  </si>
  <si>
    <t>T-SQL</t>
  </si>
  <si>
    <t>PRO-IV</t>
  </si>
  <si>
    <t>TYPE
SCRIPT REACT</t>
  </si>
  <si>
    <t>TYPESCRIPT+SASS</t>
  </si>
  <si>
    <t>UI/UX DESIGN USING ADOBE XD</t>
  </si>
  <si>
    <t>UI/UX DESIGN USING ADOBE X</t>
  </si>
  <si>
    <t>POWERSHELL SCRIPTING</t>
  </si>
  <si>
    <t>TERRAFORM</t>
  </si>
  <si>
    <t>WEB METHODS</t>
  </si>
  <si>
    <t>Palantir</t>
  </si>
  <si>
    <t>COBOL</t>
  </si>
  <si>
    <t>SAP-Hana</t>
    <phoneticPr fontId="2"/>
  </si>
  <si>
    <t>SAP CP (Global ETO)</t>
  </si>
  <si>
    <t>SAP/ SAP CP (Global ETO)</t>
  </si>
  <si>
    <t>Service Now</t>
  </si>
  <si>
    <t>Sales
Force</t>
  </si>
  <si>
    <t>Prones V31, V30(Old Prones)</t>
  </si>
  <si>
    <t>Prones GX</t>
  </si>
  <si>
    <t>COLMINA</t>
  </si>
  <si>
    <t>DDworks</t>
  </si>
  <si>
    <t>FitPOS</t>
  </si>
  <si>
    <t>Git</t>
  </si>
  <si>
    <t>Glovia (GT, G2)</t>
  </si>
  <si>
    <t>CAMP</t>
  </si>
  <si>
    <t>Oracle</t>
  </si>
  <si>
    <t>O365</t>
  </si>
  <si>
    <t>MS Dynamics</t>
  </si>
  <si>
    <t>SPLUNK ENTERPRISE ( SIEM)</t>
  </si>
  <si>
    <t>Prones0GX, V31, old</t>
  </si>
  <si>
    <t>eMES</t>
  </si>
  <si>
    <t>others</t>
  </si>
  <si>
    <t>Power BI</t>
  </si>
  <si>
    <t>Tableau</t>
  </si>
  <si>
    <t>Qlik Sense</t>
  </si>
  <si>
    <t>Manual Testing</t>
  </si>
  <si>
    <t>Test Automation</t>
  </si>
  <si>
    <t>Android</t>
  </si>
  <si>
    <t>IOS</t>
  </si>
  <si>
    <t>React Native</t>
  </si>
  <si>
    <t>Xamarin</t>
  </si>
  <si>
    <t>SWIFT</t>
  </si>
  <si>
    <t>Flutter</t>
  </si>
  <si>
    <t>Project/Service Management</t>
  </si>
  <si>
    <t>Sense &amp; respond</t>
  </si>
  <si>
    <t>Cloud DevOps</t>
  </si>
  <si>
    <t>Cloud migration</t>
  </si>
  <si>
    <t>Docker</t>
  </si>
  <si>
    <t>Kubernetes</t>
  </si>
  <si>
    <t>OpenShift</t>
  </si>
  <si>
    <t>AWS</t>
  </si>
  <si>
    <t>Google Cloud</t>
  </si>
  <si>
    <t>MS Azure</t>
  </si>
  <si>
    <t>IBM Cloud</t>
  </si>
  <si>
    <t>Oracle Cloud</t>
  </si>
  <si>
    <t>CLOUD SECURITY</t>
  </si>
  <si>
    <t>Block Chain</t>
  </si>
  <si>
    <t>Data Science</t>
  </si>
  <si>
    <t>Data Analytics</t>
  </si>
  <si>
    <t>Active Directory</t>
  </si>
  <si>
    <t>VMWare</t>
  </si>
  <si>
    <t>ITIL</t>
  </si>
  <si>
    <t>RHEL</t>
  </si>
  <si>
    <t>Linux</t>
  </si>
  <si>
    <t>Solaris</t>
  </si>
  <si>
    <t>Power Automate</t>
  </si>
  <si>
    <t>Power Apps</t>
  </si>
  <si>
    <t>MS Teams</t>
  </si>
  <si>
    <t>PORTFOLIO, PROGRAM MANAGEMENT</t>
  </si>
  <si>
    <t>Others skillset</t>
  </si>
  <si>
    <t>AGILE</t>
  </si>
  <si>
    <t>WATERFALL</t>
  </si>
  <si>
    <t>PM/
Team Leader</t>
  </si>
  <si>
    <t>SubLeader (Senior)</t>
  </si>
  <si>
    <r>
      <t xml:space="preserve">Domain / Industry Project
</t>
    </r>
    <r>
      <rPr>
        <i/>
        <sz val="9"/>
        <color rgb="FF000000"/>
        <rFont val="Calibri Light"/>
        <family val="2"/>
        <scheme val="major"/>
      </rPr>
      <t>(example : manufacturing, finance, retail,IT, insurance, gambling, government, common (others))</t>
    </r>
  </si>
  <si>
    <t>Speak</t>
  </si>
  <si>
    <t>Read</t>
  </si>
  <si>
    <t>Write</t>
  </si>
  <si>
    <t>Certificate/Native</t>
  </si>
  <si>
    <t>Certification(JLPT)/native</t>
  </si>
  <si>
    <t>MS-900: Microsoft 365 Fundamentals</t>
  </si>
  <si>
    <t>MB0920: Dynamics 365 Fundamentals (ERP)</t>
  </si>
  <si>
    <t>PL0900: Power Platform Fundamentals</t>
  </si>
  <si>
    <t>SC0200: Security Operations Analyst Associate</t>
  </si>
  <si>
    <t>SC0900: Security, Compliance, And Identity Fundamentals</t>
  </si>
  <si>
    <t>IPA
PM</t>
  </si>
  <si>
    <t>P2M
PMC</t>
  </si>
  <si>
    <t>P2M
PMS</t>
  </si>
  <si>
    <t>P2M
PMR</t>
  </si>
  <si>
    <t>P2M
PMA</t>
  </si>
  <si>
    <t>PMI
PgMP</t>
  </si>
  <si>
    <t>PMI
PMP</t>
  </si>
  <si>
    <t>PRINCE2
Practitioner</t>
  </si>
  <si>
    <t>PRINCE2
Foundation</t>
  </si>
  <si>
    <t>ITIL
Master</t>
  </si>
  <si>
    <t>ITIL
SL</t>
  </si>
  <si>
    <t>ITIL
MP</t>
  </si>
  <si>
    <t>ITIL
Foundation</t>
  </si>
  <si>
    <t>PMI0ACP</t>
  </si>
  <si>
    <t>SAFe®
Agilist
(SA)</t>
  </si>
  <si>
    <t>SAFe®
Practitioner
(SP)</t>
  </si>
  <si>
    <t>SAFe®
Scrum Master
(SSM)</t>
  </si>
  <si>
    <t>SAFe®
Product Owner/Product Manager (POPM)</t>
  </si>
  <si>
    <t>SAFe®
Agile Software Egineer (ASE)</t>
  </si>
  <si>
    <t>Scrum Alliance
Scrum Master
(CSM)</t>
  </si>
  <si>
    <t>Scrum Alliance
Product Owner
(CSPO)</t>
  </si>
  <si>
    <t>Scrum Alliance
Developer
(CSD)</t>
  </si>
  <si>
    <t>Scrum Inc. Scrum Master
(RMS)</t>
  </si>
  <si>
    <t>Scrum Inc. Product Owner
(RPO)</t>
  </si>
  <si>
    <t>The Professional Scrum Master (PSM I)</t>
  </si>
  <si>
    <t>Professional Scrum Developer (PSD01)</t>
  </si>
  <si>
    <t>(AI-900) Azure AI Fundamentals</t>
    <phoneticPr fontId="2"/>
  </si>
  <si>
    <t>(DP-900) Azure Data fundamentals</t>
    <phoneticPr fontId="2"/>
  </si>
  <si>
    <t>Google Data Analytics</t>
  </si>
  <si>
    <t>(AI-102) Azure AI Enginner associate</t>
  </si>
  <si>
    <t>(DP0100) Azure Data Scientist Associate</t>
  </si>
  <si>
    <t>(DP0203) Azure Data Engineer Associate</t>
  </si>
  <si>
    <t>AWS Cloud Practitioner</t>
  </si>
  <si>
    <t>AWS Solution Architect Associate</t>
  </si>
  <si>
    <t>AWS Solutions Architect Professional</t>
  </si>
  <si>
    <t>AZ-900: Azure Fundamentals</t>
  </si>
  <si>
    <t>(AZ 0104) Administrator Associate </t>
  </si>
  <si>
    <t>(AZ 0305) Solution Architect Expert</t>
  </si>
  <si>
    <t>GCP Cloud Digital Leader</t>
  </si>
  <si>
    <t>GCP Associate Cloud Engineer</t>
  </si>
  <si>
    <t>GCP Professional Cloud Architect</t>
  </si>
  <si>
    <t>Oracle Cloud Infrastructure Foundations</t>
  </si>
  <si>
    <t>Oracle Cloud Infrastructure Associate</t>
  </si>
  <si>
    <t>Oracle Cloud Infrastructure Professional</t>
  </si>
  <si>
    <t>Fujitsu Certified Associate Cloud</t>
  </si>
  <si>
    <t>Fujitsu Certified Professional Cloud</t>
  </si>
  <si>
    <t>Fujitsu Certified Senior Professional Cloud for Administrator</t>
  </si>
  <si>
    <t>SAP</t>
  </si>
  <si>
    <t>ServiceNow</t>
  </si>
  <si>
    <t>SalesForce</t>
  </si>
  <si>
    <t xml:space="preserve">Entry-Level Python Programmer exam (PCEP) </t>
  </si>
  <si>
    <t>Associate in Python Programming (PCAP)​</t>
  </si>
  <si>
    <t>Agile Dojo L3</t>
  </si>
  <si>
    <t>Total Certified</t>
  </si>
  <si>
    <t>Jaharuddin, Jannatil Anwar Bin</t>
  </si>
  <si>
    <t>AS</t>
  </si>
  <si>
    <t>Shazana</t>
  </si>
  <si>
    <t>Senior</t>
  </si>
  <si>
    <t>Java</t>
  </si>
  <si>
    <t>Hadoop, Data Mining, AI,ML</t>
  </si>
  <si>
    <t>finance,gambling,IT,manufacturing</t>
  </si>
  <si>
    <t>-</t>
  </si>
  <si>
    <t>No</t>
  </si>
  <si>
    <t>Yes</t>
  </si>
  <si>
    <t>Ismahdi, Muhammad Izzun Mustaqim Bin</t>
    <phoneticPr fontId="2"/>
  </si>
  <si>
    <t>Mohd Kamal, Muhammad Nasiruddin Bin</t>
  </si>
  <si>
    <t>Nazer</t>
  </si>
  <si>
    <t>Middle</t>
  </si>
  <si>
    <t>.NET C#</t>
  </si>
  <si>
    <t>Ahmad Mahmud, Nuramira Binti</t>
  </si>
  <si>
    <t>Azhar, Nurul Ashikin Binti</t>
  </si>
  <si>
    <t>Junior</t>
  </si>
  <si>
    <t>JavaScript</t>
  </si>
  <si>
    <t>manufacturing</t>
  </si>
  <si>
    <t>Muhamad Salleh, Nur Ain Binti</t>
  </si>
  <si>
    <t>Md Nor Hayati, Norezzati Binti</t>
  </si>
  <si>
    <t>Sahril</t>
  </si>
  <si>
    <t xml:space="preserve">C# </t>
  </si>
  <si>
    <t>HTML</t>
  </si>
  <si>
    <t>Total Headcount</t>
  </si>
  <si>
    <t>Standard Skillsets Total (point &gt;1)</t>
  </si>
  <si>
    <t>Standard Skillsets Total (point &gt;2)</t>
  </si>
  <si>
    <t>Standard Skillsets %</t>
  </si>
  <si>
    <t>SDEM Phase skill (Internal Experience)</t>
  </si>
  <si>
    <t>New</t>
  </si>
  <si>
    <t>No Experience</t>
  </si>
  <si>
    <t>Knowledge only (OJT)</t>
  </si>
  <si>
    <t>0- 6months(Actual Project)</t>
  </si>
  <si>
    <t>6months- 2 years(Actual Project)</t>
  </si>
  <si>
    <t>2 - 4years (Actual Project)</t>
  </si>
  <si>
    <t>4 years and above (Actual Project)</t>
  </si>
  <si>
    <t>Technical skill (Internal &amp; External)</t>
  </si>
  <si>
    <t xml:space="preserve">Knowledge only </t>
  </si>
  <si>
    <t>0-2 years(actual involvement)</t>
  </si>
  <si>
    <t>2-4 years(actual involvement)</t>
  </si>
  <si>
    <t>4 years and above(actual involvement)</t>
  </si>
  <si>
    <t>Project Management (Internal Experience)</t>
  </si>
  <si>
    <t>2-5 years(actual involvement)</t>
  </si>
  <si>
    <t>5-7 years(actual involvement)</t>
  </si>
  <si>
    <t>7-10 years and above(actual involvement)</t>
  </si>
  <si>
    <t>10 years and above(actual involvement)</t>
  </si>
  <si>
    <t>Language  (Internal &amp; External)</t>
  </si>
  <si>
    <t>Daily Conversation</t>
  </si>
  <si>
    <t>Business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</si>
</sst>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 * #,##0_ ;_ * \-#,##0_ ;_ * &quot;-&quot;_ ;_ @_ "/>
    <numFmt numFmtId="165" formatCode="_ * #,##0.00_ ;_ * \-#,##0.00_ ;_ * &quot;-&quot;??_ ;_ @_ "/>
    <numFmt numFmtId="166" formatCode="#,##0;\-#,##0;&quot;-&quot;"/>
    <numFmt numFmtId="167" formatCode="0.0%"/>
  </numFmts>
  <fonts count="45">
    <font>
      <sz val="9"/>
      <name val="Calibri"/>
    </font>
    <font>
      <sz val="11"/>
      <color theme="1"/>
      <name val="Calibri"/>
      <family val="2"/>
      <scheme val="minor"/>
    </font>
    <font>
      <sz val="5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14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6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11"/>
      <color theme="1"/>
      <name val="Calibri Light"/>
      <family val="2"/>
      <scheme val="major"/>
    </font>
    <font>
      <sz val="9"/>
      <color indexed="81"/>
      <name val="Tahoma"/>
      <family val="2"/>
    </font>
    <font>
      <sz val="9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color rgb="FF444444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9"/>
      <color indexed="81"/>
      <name val="Tahoma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9"/>
      <color theme="1"/>
      <name val="Calibri"/>
      <family val="2"/>
      <charset val="1"/>
    </font>
    <font>
      <sz val="9"/>
      <color rgb="FF000000"/>
      <name val="Calibri"/>
      <family val="2"/>
      <scheme val="minor"/>
    </font>
    <font>
      <b/>
      <sz val="9"/>
      <name val="Calibri Light"/>
      <family val="2"/>
      <scheme val="major"/>
    </font>
    <font>
      <i/>
      <sz val="9"/>
      <color rgb="FF000000"/>
      <name val="Calibri Light"/>
      <family val="2"/>
      <scheme val="maj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EDAF9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2">
    <xf numFmtId="0" fontId="0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4" fillId="0" borderId="0">
      <alignment horizontal="center" wrapText="1"/>
      <protection locked="0"/>
    </xf>
    <xf numFmtId="166" fontId="25" fillId="0" borderId="0" applyFill="0" applyBorder="0" applyAlignment="0"/>
    <xf numFmtId="0" fontId="26" fillId="0" borderId="4" applyNumberFormat="0" applyAlignment="0" applyProtection="0">
      <alignment horizontal="left" vertical="center"/>
    </xf>
    <xf numFmtId="0" fontId="26" fillId="0" borderId="1">
      <alignment horizontal="left" vertical="center"/>
    </xf>
    <xf numFmtId="14" fontId="24" fillId="0" borderId="0">
      <alignment horizontal="center" wrapText="1"/>
      <protection locked="0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5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4" borderId="6" applyNumberFormat="0" applyFon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25" borderId="13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21" fillId="9" borderId="8" applyNumberFormat="0" applyAlignment="0" applyProtection="0">
      <alignment vertical="center"/>
    </xf>
    <xf numFmtId="0" fontId="23" fillId="0" borderId="0">
      <alignment vertical="center"/>
    </xf>
    <xf numFmtId="0" fontId="22" fillId="6" borderId="0" applyNumberFormat="0" applyBorder="0" applyAlignment="0" applyProtection="0">
      <alignment vertical="center"/>
    </xf>
    <xf numFmtId="9" fontId="27" fillId="0" borderId="0" applyFont="0" applyFill="0" applyBorder="0" applyAlignment="0" applyProtection="0"/>
    <xf numFmtId="0" fontId="28" fillId="0" borderId="0"/>
    <xf numFmtId="0" fontId="1" fillId="0" borderId="0"/>
    <xf numFmtId="0" fontId="33" fillId="0" borderId="0" applyNumberFormat="0" applyFill="0" applyBorder="0" applyAlignment="0" applyProtection="0"/>
    <xf numFmtId="0" fontId="34" fillId="0" borderId="0"/>
    <xf numFmtId="0" fontId="33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30" fillId="0" borderId="0" xfId="0" applyFont="1">
      <alignment vertical="center"/>
    </xf>
    <xf numFmtId="0" fontId="30" fillId="0" borderId="0" xfId="0" applyFont="1" applyAlignment="1"/>
    <xf numFmtId="0" fontId="31" fillId="0" borderId="0" xfId="0" quotePrefix="1" applyFont="1" applyAlignment="1"/>
    <xf numFmtId="0" fontId="31" fillId="0" borderId="0" xfId="0" applyFont="1" applyAlignment="1"/>
    <xf numFmtId="0" fontId="30" fillId="0" borderId="0" xfId="0" quotePrefix="1" applyFont="1" applyAlignment="1"/>
    <xf numFmtId="0" fontId="31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quotePrefix="1" applyFont="1">
      <alignment vertical="center"/>
    </xf>
    <xf numFmtId="0" fontId="30" fillId="0" borderId="0" xfId="3" applyFont="1">
      <alignment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 wrapText="1"/>
    </xf>
    <xf numFmtId="0" fontId="30" fillId="0" borderId="16" xfId="0" applyFont="1" applyBorder="1">
      <alignment vertical="center"/>
    </xf>
    <xf numFmtId="0" fontId="30" fillId="0" borderId="16" xfId="0" applyFont="1" applyBorder="1" applyAlignment="1">
      <alignment horizontal="center" vertical="center"/>
    </xf>
    <xf numFmtId="0" fontId="30" fillId="30" borderId="16" xfId="0" applyFont="1" applyFill="1" applyBorder="1" applyAlignment="1">
      <alignment horizontal="center" vertical="center"/>
    </xf>
    <xf numFmtId="167" fontId="30" fillId="0" borderId="16" xfId="55" applyNumberFormat="1" applyFont="1" applyBorder="1" applyAlignment="1">
      <alignment horizontal="center" vertical="center"/>
    </xf>
    <xf numFmtId="167" fontId="30" fillId="30" borderId="16" xfId="55" applyNumberFormat="1" applyFont="1" applyFill="1" applyBorder="1" applyAlignment="1">
      <alignment horizontal="center" vertical="center"/>
    </xf>
    <xf numFmtId="0" fontId="32" fillId="0" borderId="0" xfId="0" quotePrefix="1" applyFont="1" applyAlignment="1"/>
    <xf numFmtId="0" fontId="31" fillId="0" borderId="0" xfId="0" applyFont="1" applyAlignment="1">
      <alignment horizontal="left" vertical="center"/>
    </xf>
    <xf numFmtId="0" fontId="30" fillId="32" borderId="16" xfId="0" applyFont="1" applyFill="1" applyBorder="1" applyAlignment="1">
      <alignment horizontal="left" vertical="center"/>
    </xf>
    <xf numFmtId="0" fontId="30" fillId="32" borderId="16" xfId="0" applyFont="1" applyFill="1" applyBorder="1" applyAlignment="1">
      <alignment horizontal="center" vertical="center"/>
    </xf>
    <xf numFmtId="0" fontId="30" fillId="30" borderId="16" xfId="0" applyFont="1" applyFill="1" applyBorder="1" applyAlignment="1">
      <alignment horizontal="center" vertical="top" wrapText="1"/>
    </xf>
    <xf numFmtId="0" fontId="30" fillId="30" borderId="2" xfId="0" applyFont="1" applyFill="1" applyBorder="1" applyAlignment="1">
      <alignment horizontal="center" vertical="top" wrapText="1"/>
    </xf>
    <xf numFmtId="14" fontId="36" fillId="0" borderId="16" xfId="0" applyNumberFormat="1" applyFont="1" applyBorder="1" applyAlignment="1" applyProtection="1">
      <alignment horizontal="center" vertical="center" wrapText="1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37" fillId="0" borderId="16" xfId="0" applyFont="1" applyBorder="1" applyAlignment="1" applyProtection="1">
      <alignment horizontal="center" vertical="center"/>
      <protection locked="0"/>
    </xf>
    <xf numFmtId="0" fontId="30" fillId="0" borderId="16" xfId="0" quotePrefix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6" fillId="0" borderId="16" xfId="0" applyFont="1" applyBorder="1" applyAlignment="1" applyProtection="1">
      <alignment horizontal="center" vertical="center"/>
      <protection locked="0"/>
    </xf>
    <xf numFmtId="0" fontId="31" fillId="0" borderId="0" xfId="0" quotePrefix="1" applyFont="1" applyAlignment="1">
      <alignment horizontal="center" vertical="center"/>
    </xf>
    <xf numFmtId="0" fontId="31" fillId="0" borderId="0" xfId="0" applyFont="1">
      <alignment vertical="center"/>
    </xf>
    <xf numFmtId="0" fontId="30" fillId="0" borderId="0" xfId="0" quotePrefix="1" applyFont="1" applyAlignment="1">
      <alignment horizontal="center" vertical="center"/>
    </xf>
    <xf numFmtId="0" fontId="32" fillId="0" borderId="0" xfId="0" quotePrefix="1" applyFont="1" applyAlignment="1">
      <alignment horizontal="center" vertical="center"/>
    </xf>
    <xf numFmtId="0" fontId="30" fillId="0" borderId="0" xfId="0" applyFont="1" applyAlignment="1">
      <alignment horizontal="center" vertical="top"/>
    </xf>
    <xf numFmtId="167" fontId="30" fillId="0" borderId="16" xfId="55" applyNumberFormat="1" applyFont="1" applyBorder="1" applyAlignment="1">
      <alignment horizontal="center" vertical="top"/>
    </xf>
    <xf numFmtId="0" fontId="31" fillId="0" borderId="0" xfId="0" applyFont="1" applyAlignment="1">
      <alignment horizontal="center" vertical="top"/>
    </xf>
    <xf numFmtId="0" fontId="31" fillId="0" borderId="0" xfId="0" quotePrefix="1" applyFont="1" applyAlignment="1">
      <alignment horizontal="center" vertical="top"/>
    </xf>
    <xf numFmtId="0" fontId="39" fillId="0" borderId="16" xfId="0" applyFont="1" applyBorder="1" applyAlignment="1" applyProtection="1">
      <alignment horizontal="center" vertical="center"/>
      <protection locked="0"/>
    </xf>
    <xf numFmtId="0" fontId="30" fillId="26" borderId="16" xfId="0" applyFont="1" applyFill="1" applyBorder="1" applyAlignment="1">
      <alignment horizontal="center" vertical="center" wrapText="1"/>
    </xf>
    <xf numFmtId="0" fontId="30" fillId="26" borderId="16" xfId="0" applyFont="1" applyFill="1" applyBorder="1" applyAlignment="1">
      <alignment horizontal="center" vertical="center"/>
    </xf>
    <xf numFmtId="0" fontId="30" fillId="28" borderId="16" xfId="0" applyFont="1" applyFill="1" applyBorder="1" applyAlignment="1">
      <alignment horizontal="center" vertical="center" wrapText="1"/>
    </xf>
    <xf numFmtId="0" fontId="30" fillId="3" borderId="16" xfId="0" applyFont="1" applyFill="1" applyBorder="1" applyAlignment="1">
      <alignment horizontal="center" vertical="center"/>
    </xf>
    <xf numFmtId="0" fontId="30" fillId="29" borderId="16" xfId="0" applyFont="1" applyFill="1" applyBorder="1" applyAlignment="1">
      <alignment horizontal="center" vertical="center" wrapText="1"/>
    </xf>
    <xf numFmtId="0" fontId="30" fillId="33" borderId="16" xfId="0" applyFont="1" applyFill="1" applyBorder="1" applyAlignment="1">
      <alignment horizontal="center" vertical="center" wrapText="1"/>
    </xf>
    <xf numFmtId="0" fontId="30" fillId="2" borderId="16" xfId="0" applyFont="1" applyFill="1" applyBorder="1" applyAlignment="1">
      <alignment horizontal="center" vertical="center" wrapText="1"/>
    </xf>
    <xf numFmtId="0" fontId="30" fillId="27" borderId="16" xfId="0" applyFont="1" applyFill="1" applyBorder="1" applyAlignment="1">
      <alignment horizontal="center" vertical="center"/>
    </xf>
    <xf numFmtId="0" fontId="31" fillId="27" borderId="16" xfId="0" applyFont="1" applyFill="1" applyBorder="1" applyAlignment="1">
      <alignment horizontal="center" vertical="center" wrapText="1"/>
    </xf>
    <xf numFmtId="0" fontId="31" fillId="31" borderId="16" xfId="0" applyFont="1" applyFill="1" applyBorder="1" applyAlignment="1">
      <alignment horizontal="center" vertical="center"/>
    </xf>
    <xf numFmtId="0" fontId="31" fillId="31" borderId="16" xfId="0" applyFont="1" applyFill="1" applyBorder="1" applyAlignment="1">
      <alignment horizontal="center" vertical="center" wrapText="1"/>
    </xf>
    <xf numFmtId="0" fontId="30" fillId="30" borderId="16" xfId="0" applyFont="1" applyFill="1" applyBorder="1" applyAlignment="1">
      <alignment horizontal="center" vertical="center" wrapText="1"/>
    </xf>
    <xf numFmtId="0" fontId="30" fillId="27" borderId="16" xfId="0" applyFont="1" applyFill="1" applyBorder="1" applyAlignment="1">
      <alignment horizontal="center" vertical="center" wrapText="1"/>
    </xf>
    <xf numFmtId="0" fontId="31" fillId="26" borderId="16" xfId="0" applyFont="1" applyFill="1" applyBorder="1" applyAlignment="1">
      <alignment horizontal="center" vertical="center" wrapText="1"/>
    </xf>
    <xf numFmtId="0" fontId="38" fillId="0" borderId="16" xfId="0" applyFont="1" applyBorder="1" applyAlignment="1" applyProtection="1">
      <alignment horizontal="center" vertical="center"/>
      <protection locked="0"/>
    </xf>
    <xf numFmtId="0" fontId="30" fillId="31" borderId="16" xfId="0" applyFont="1" applyFill="1" applyBorder="1" applyAlignment="1">
      <alignment horizontal="center" vertical="center"/>
    </xf>
    <xf numFmtId="0" fontId="30" fillId="0" borderId="16" xfId="0" applyFont="1" applyBorder="1" applyAlignment="1">
      <alignment horizontal="left" vertical="center"/>
    </xf>
    <xf numFmtId="14" fontId="36" fillId="0" borderId="16" xfId="0" applyNumberFormat="1" applyFont="1" applyBorder="1" applyAlignment="1" applyProtection="1">
      <alignment horizontal="center" vertical="center"/>
      <protection locked="0"/>
    </xf>
    <xf numFmtId="0" fontId="30" fillId="31" borderId="15" xfId="0" applyFont="1" applyFill="1" applyBorder="1" applyAlignment="1">
      <alignment horizontal="left" vertical="center"/>
    </xf>
    <xf numFmtId="0" fontId="40" fillId="0" borderId="19" xfId="0" applyFont="1" applyBorder="1">
      <alignment vertical="center"/>
    </xf>
    <xf numFmtId="0" fontId="40" fillId="0" borderId="21" xfId="0" applyFont="1" applyBorder="1" applyAlignment="1">
      <alignment horizontal="center" vertical="center"/>
    </xf>
    <xf numFmtId="0" fontId="30" fillId="0" borderId="22" xfId="0" applyFont="1" applyBorder="1">
      <alignment vertical="center"/>
    </xf>
    <xf numFmtId="0" fontId="30" fillId="0" borderId="23" xfId="0" applyFont="1" applyBorder="1" applyAlignment="1">
      <alignment horizontal="center" vertical="center"/>
    </xf>
    <xf numFmtId="0" fontId="30" fillId="0" borderId="24" xfId="0" applyFont="1" applyBorder="1">
      <alignment vertical="center"/>
    </xf>
    <xf numFmtId="0" fontId="30" fillId="0" borderId="25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0" fillId="32" borderId="16" xfId="0" applyFont="1" applyFill="1" applyBorder="1">
      <alignment vertical="center"/>
    </xf>
    <xf numFmtId="0" fontId="36" fillId="0" borderId="16" xfId="0" applyFont="1" applyBorder="1" applyAlignment="1" applyProtection="1">
      <alignment horizontal="left" vertical="center"/>
      <protection locked="0"/>
    </xf>
    <xf numFmtId="0" fontId="30" fillId="27" borderId="18" xfId="0" applyFont="1" applyFill="1" applyBorder="1">
      <alignment vertical="center"/>
    </xf>
    <xf numFmtId="0" fontId="30" fillId="27" borderId="14" xfId="0" applyFont="1" applyFill="1" applyBorder="1">
      <alignment vertical="center"/>
    </xf>
    <xf numFmtId="14" fontId="3" fillId="0" borderId="16" xfId="0" applyNumberFormat="1" applyFont="1" applyBorder="1" applyAlignment="1" applyProtection="1">
      <alignment horizontal="center" vertical="center"/>
      <protection locked="0"/>
    </xf>
    <xf numFmtId="14" fontId="3" fillId="0" borderId="16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left" vertical="center"/>
      <protection locked="0"/>
    </xf>
    <xf numFmtId="0" fontId="0" fillId="0" borderId="16" xfId="0" applyBorder="1">
      <alignment vertical="center"/>
    </xf>
    <xf numFmtId="0" fontId="30" fillId="34" borderId="16" xfId="0" applyFont="1" applyFill="1" applyBorder="1" applyAlignment="1">
      <alignment horizontal="center" vertical="center" wrapText="1"/>
    </xf>
    <xf numFmtId="0" fontId="42" fillId="2" borderId="3" xfId="0" applyFont="1" applyFill="1" applyBorder="1" applyAlignment="1">
      <alignment horizontal="center" vertical="center"/>
    </xf>
    <xf numFmtId="0" fontId="43" fillId="30" borderId="3" xfId="0" applyFont="1" applyFill="1" applyBorder="1" applyAlignment="1">
      <alignment horizontal="center" vertical="center"/>
    </xf>
    <xf numFmtId="0" fontId="42" fillId="2" borderId="3" xfId="0" applyFont="1" applyFill="1" applyBorder="1" applyAlignment="1">
      <alignment horizontal="center" vertical="center" wrapText="1"/>
    </xf>
    <xf numFmtId="0" fontId="42" fillId="2" borderId="17" xfId="0" applyFont="1" applyFill="1" applyBorder="1">
      <alignment vertical="center"/>
    </xf>
    <xf numFmtId="0" fontId="42" fillId="2" borderId="2" xfId="0" applyFont="1" applyFill="1" applyBorder="1">
      <alignment vertical="center"/>
    </xf>
    <xf numFmtId="0" fontId="42" fillId="2" borderId="17" xfId="0" applyFont="1" applyFill="1" applyBorder="1" applyAlignment="1">
      <alignment vertical="center" wrapText="1"/>
    </xf>
    <xf numFmtId="0" fontId="42" fillId="2" borderId="2" xfId="0" applyFont="1" applyFill="1" applyBorder="1" applyAlignment="1">
      <alignment vertical="center" wrapText="1"/>
    </xf>
    <xf numFmtId="0" fontId="42" fillId="2" borderId="19" xfId="0" applyFont="1" applyFill="1" applyBorder="1">
      <alignment vertical="center"/>
    </xf>
    <xf numFmtId="0" fontId="42" fillId="2" borderId="22" xfId="0" applyFont="1" applyFill="1" applyBorder="1">
      <alignment vertical="center"/>
    </xf>
    <xf numFmtId="0" fontId="42" fillId="2" borderId="24" xfId="0" applyFont="1" applyFill="1" applyBorder="1">
      <alignment vertical="center"/>
    </xf>
    <xf numFmtId="0" fontId="42" fillId="2" borderId="24" xfId="0" applyFont="1" applyFill="1" applyBorder="1" applyAlignment="1">
      <alignment horizontal="center" vertical="center"/>
    </xf>
    <xf numFmtId="0" fontId="43" fillId="30" borderId="17" xfId="0" applyFont="1" applyFill="1" applyBorder="1">
      <alignment vertical="center"/>
    </xf>
    <xf numFmtId="0" fontId="30" fillId="26" borderId="14" xfId="0" applyFont="1" applyFill="1" applyBorder="1" applyAlignment="1">
      <alignment horizontal="center" vertical="center" wrapText="1"/>
    </xf>
    <xf numFmtId="0" fontId="30" fillId="31" borderId="16" xfId="0" applyFont="1" applyFill="1" applyBorder="1" applyAlignment="1">
      <alignment horizontal="left" vertical="center"/>
    </xf>
    <xf numFmtId="0" fontId="31" fillId="31" borderId="16" xfId="0" applyFont="1" applyFill="1" applyBorder="1" applyAlignment="1">
      <alignment horizontal="left" vertical="center"/>
    </xf>
    <xf numFmtId="0" fontId="30" fillId="30" borderId="16" xfId="0" applyFont="1" applyFill="1" applyBorder="1" applyAlignment="1">
      <alignment horizontal="left" vertical="center"/>
    </xf>
    <xf numFmtId="167" fontId="30" fillId="30" borderId="16" xfId="55" applyNumberFormat="1" applyFont="1" applyFill="1" applyBorder="1" applyAlignment="1">
      <alignment horizontal="left" vertical="center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0" xfId="0" quotePrefix="1" applyFont="1" applyAlignment="1">
      <alignment horizontal="left"/>
    </xf>
    <xf numFmtId="0" fontId="30" fillId="2" borderId="16" xfId="0" applyFont="1" applyFill="1" applyBorder="1" applyAlignment="1">
      <alignment horizontal="left" vertical="center"/>
    </xf>
    <xf numFmtId="0" fontId="42" fillId="2" borderId="17" xfId="0" applyFont="1" applyFill="1" applyBorder="1" applyAlignment="1">
      <alignment horizontal="left" vertical="center"/>
    </xf>
    <xf numFmtId="0" fontId="42" fillId="2" borderId="2" xfId="0" applyFont="1" applyFill="1" applyBorder="1" applyAlignment="1">
      <alignment horizontal="left" vertical="center"/>
    </xf>
    <xf numFmtId="0" fontId="42" fillId="2" borderId="3" xfId="0" applyFont="1" applyFill="1" applyBorder="1" applyAlignment="1">
      <alignment horizontal="left" vertical="center"/>
    </xf>
    <xf numFmtId="0" fontId="30" fillId="31" borderId="15" xfId="0" applyFont="1" applyFill="1" applyBorder="1" applyAlignment="1">
      <alignment horizontal="center" vertical="center"/>
    </xf>
    <xf numFmtId="0" fontId="30" fillId="31" borderId="18" xfId="0" applyFont="1" applyFill="1" applyBorder="1" applyAlignment="1">
      <alignment horizontal="center" vertical="center"/>
    </xf>
    <xf numFmtId="0" fontId="30" fillId="31" borderId="14" xfId="0" applyFont="1" applyFill="1" applyBorder="1" applyAlignment="1">
      <alignment horizontal="center" vertical="center"/>
    </xf>
    <xf numFmtId="0" fontId="30" fillId="2" borderId="15" xfId="0" applyFont="1" applyFill="1" applyBorder="1" applyAlignment="1">
      <alignment horizontal="center" vertical="center"/>
    </xf>
    <xf numFmtId="0" fontId="30" fillId="2" borderId="14" xfId="0" applyFont="1" applyFill="1" applyBorder="1" applyAlignment="1">
      <alignment horizontal="center" vertical="center"/>
    </xf>
    <xf numFmtId="0" fontId="30" fillId="31" borderId="15" xfId="0" applyFont="1" applyFill="1" applyBorder="1" applyAlignment="1">
      <alignment horizontal="left" vertical="center"/>
    </xf>
    <xf numFmtId="0" fontId="30" fillId="31" borderId="18" xfId="0" applyFont="1" applyFill="1" applyBorder="1" applyAlignment="1">
      <alignment horizontal="left" vertical="center"/>
    </xf>
    <xf numFmtId="0" fontId="30" fillId="31" borderId="14" xfId="0" applyFont="1" applyFill="1" applyBorder="1" applyAlignment="1">
      <alignment horizontal="left" vertical="center"/>
    </xf>
    <xf numFmtId="0" fontId="30" fillId="30" borderId="16" xfId="0" applyFont="1" applyFill="1" applyBorder="1" applyAlignment="1">
      <alignment horizontal="center" vertical="center"/>
    </xf>
    <xf numFmtId="0" fontId="31" fillId="27" borderId="16" xfId="0" applyFont="1" applyFill="1" applyBorder="1" applyAlignment="1">
      <alignment horizontal="center" vertical="center"/>
    </xf>
    <xf numFmtId="0" fontId="30" fillId="2" borderId="15" xfId="0" applyFont="1" applyFill="1" applyBorder="1" applyAlignment="1">
      <alignment horizontal="left" vertical="center"/>
    </xf>
    <xf numFmtId="0" fontId="30" fillId="2" borderId="18" xfId="0" applyFont="1" applyFill="1" applyBorder="1" applyAlignment="1">
      <alignment horizontal="left" vertical="center"/>
    </xf>
    <xf numFmtId="0" fontId="30" fillId="2" borderId="14" xfId="0" applyFont="1" applyFill="1" applyBorder="1" applyAlignment="1">
      <alignment horizontal="left" vertical="center"/>
    </xf>
    <xf numFmtId="0" fontId="30" fillId="2" borderId="14" xfId="0" applyFont="1" applyFill="1" applyBorder="1" applyAlignment="1">
      <alignment horizontal="center" vertical="center" wrapText="1"/>
    </xf>
    <xf numFmtId="0" fontId="30" fillId="2" borderId="16" xfId="0" applyFont="1" applyFill="1" applyBorder="1" applyAlignment="1">
      <alignment horizontal="center" vertical="center" wrapText="1"/>
    </xf>
    <xf numFmtId="0" fontId="30" fillId="2" borderId="16" xfId="0" applyFont="1" applyFill="1" applyBorder="1" applyAlignment="1">
      <alignment horizontal="center" vertical="center"/>
    </xf>
    <xf numFmtId="0" fontId="30" fillId="30" borderId="15" xfId="0" applyFont="1" applyFill="1" applyBorder="1" applyAlignment="1">
      <alignment horizontal="center" vertical="center"/>
    </xf>
    <xf numFmtId="0" fontId="30" fillId="30" borderId="18" xfId="0" applyFont="1" applyFill="1" applyBorder="1" applyAlignment="1">
      <alignment horizontal="center" vertical="center"/>
    </xf>
    <xf numFmtId="0" fontId="30" fillId="30" borderId="14" xfId="0" applyFont="1" applyFill="1" applyBorder="1" applyAlignment="1">
      <alignment horizontal="center" vertical="center"/>
    </xf>
    <xf numFmtId="0" fontId="30" fillId="27" borderId="15" xfId="0" applyFont="1" applyFill="1" applyBorder="1" applyAlignment="1">
      <alignment horizontal="left" vertical="center"/>
    </xf>
    <xf numFmtId="0" fontId="30" fillId="27" borderId="18" xfId="0" applyFont="1" applyFill="1" applyBorder="1" applyAlignment="1">
      <alignment horizontal="left" vertical="center"/>
    </xf>
    <xf numFmtId="0" fontId="30" fillId="27" borderId="14" xfId="0" applyFont="1" applyFill="1" applyBorder="1" applyAlignment="1">
      <alignment horizontal="left" vertical="center"/>
    </xf>
    <xf numFmtId="0" fontId="44" fillId="30" borderId="20" xfId="0" applyFont="1" applyFill="1" applyBorder="1" applyAlignment="1">
      <alignment horizontal="center" vertical="center"/>
    </xf>
    <xf numFmtId="0" fontId="44" fillId="30" borderId="21" xfId="0" applyFont="1" applyFill="1" applyBorder="1" applyAlignment="1">
      <alignment horizontal="center" vertical="center"/>
    </xf>
  </cellXfs>
  <cellStyles count="62">
    <cellStyle name="20% - アクセント 1 2" xfId="4" xr:uid="{5A13F76C-6BA4-4E08-8EAE-7EBBBD108A9C}"/>
    <cellStyle name="20% - アクセント 2 2" xfId="5" xr:uid="{FE8E162D-3DC4-4357-B954-6565DC5B885F}"/>
    <cellStyle name="20% - アクセント 3 2" xfId="6" xr:uid="{612A8322-EE0F-4B22-9F65-1585AFA197DB}"/>
    <cellStyle name="20% - アクセント 4 2" xfId="7" xr:uid="{56746663-807B-47D0-A3CF-0BDF33EE4C3D}"/>
    <cellStyle name="20% - アクセント 5 2" xfId="8" xr:uid="{00F34521-1328-4DF3-9342-4D10691BED7A}"/>
    <cellStyle name="20% - アクセント 6 2" xfId="9" xr:uid="{1E6ED373-4CB9-42DD-91EB-C3A42F7EC865}"/>
    <cellStyle name="40% - アクセント 1 2" xfId="10" xr:uid="{E39EDDCA-15F9-4E95-BB0D-37A0FE983DE8}"/>
    <cellStyle name="40% - アクセント 2 2" xfId="11" xr:uid="{8246BFB9-0302-4482-AE2E-8CA052677AA4}"/>
    <cellStyle name="40% - アクセント 3 2" xfId="12" xr:uid="{7C434212-72C9-4C23-8D07-F88D4ED446C2}"/>
    <cellStyle name="40% - アクセント 4 2" xfId="13" xr:uid="{08514EDD-6030-4B0D-9D40-BC96596D6869}"/>
    <cellStyle name="40% - アクセント 5 2" xfId="14" xr:uid="{D6EB114C-46BE-4F0B-9175-EA4423019963}"/>
    <cellStyle name="40% - アクセント 6 2" xfId="15" xr:uid="{3CF3FC8A-4BA4-4781-9A8B-972F57E949EF}"/>
    <cellStyle name="60% - アクセント 1 2" xfId="16" xr:uid="{F41083B2-8679-4FA5-993B-89E6076779EE}"/>
    <cellStyle name="60% - アクセント 2 2" xfId="17" xr:uid="{D096E7C9-AF1F-4F9B-8E17-D35CEE7FFB48}"/>
    <cellStyle name="60% - アクセント 3 2" xfId="18" xr:uid="{290ABC7F-F30C-453D-AB54-DD3A0E4BD1A6}"/>
    <cellStyle name="60% - アクセント 4 2" xfId="19" xr:uid="{83EB9224-8D31-4E08-83E0-57840E06E4D1}"/>
    <cellStyle name="60% - アクセント 5 2" xfId="20" xr:uid="{F9F57E58-4C00-4357-9E53-4004711B50E6}"/>
    <cellStyle name="60% - アクセント 6 2" xfId="21" xr:uid="{B9999655-1FDE-4A88-9F97-8061E26C40E4}"/>
    <cellStyle name="args.style" xfId="22" xr:uid="{B9C401D3-D3A6-4353-9B59-C33601C04AE4}"/>
    <cellStyle name="Calc Currency (0)" xfId="23" xr:uid="{3026C717-85C7-4F68-943C-25CCBB310572}"/>
    <cellStyle name="Header1" xfId="24" xr:uid="{78C3BCC5-4740-4E00-821F-15A542C1824A}"/>
    <cellStyle name="Header2" xfId="25" xr:uid="{54250C2C-5F7D-4008-A0D6-F41B95514FBB}"/>
    <cellStyle name="Hyperlink" xfId="58" xr:uid="{F3410740-FD55-48C7-A01B-BD37CBDF65B8}"/>
    <cellStyle name="Hyperlink 2" xfId="60" xr:uid="{641AA5C7-0DC9-4D0D-A78F-489C795DA332}"/>
    <cellStyle name="Normal" xfId="0" builtinId="0"/>
    <cellStyle name="Normal 2" xfId="57" xr:uid="{6EA6A9B9-9A47-42CE-BD30-71E09165AFAA}"/>
    <cellStyle name="Normal 3" xfId="56" xr:uid="{A400A9C9-CAEC-434A-80FD-898F22BABA2E}"/>
    <cellStyle name="Normal 3 2" xfId="59" xr:uid="{AFE20734-ECD7-4312-AAA2-A8049860E33D}"/>
    <cellStyle name="per.style" xfId="26" xr:uid="{9BF231DF-E54B-45D3-8235-4299FC3DC023}"/>
    <cellStyle name="Percent" xfId="55" builtinId="5"/>
    <cellStyle name="Percent 2" xfId="61" xr:uid="{B7BE3064-9BE6-4DC2-B4C1-D3701A785CED}"/>
    <cellStyle name="アクセント 1 2" xfId="27" xr:uid="{C45B7530-A3A7-4C3E-B212-0A5313E953D4}"/>
    <cellStyle name="アクセント 2 2" xfId="28" xr:uid="{56719355-22CD-44FA-BB7C-4034988F6B2E}"/>
    <cellStyle name="アクセント 3 2" xfId="29" xr:uid="{987D6A46-4322-4B3B-B9CC-205AA68150F8}"/>
    <cellStyle name="アクセント 4 2" xfId="30" xr:uid="{993A9566-3BE9-4751-A412-2E95DEE1548E}"/>
    <cellStyle name="アクセント 5 2" xfId="31" xr:uid="{F99705E6-F1EE-4996-A8DD-0EC8881CEBC9}"/>
    <cellStyle name="アクセント 6 2" xfId="32" xr:uid="{26C0672F-3501-4DFD-9464-459AEDA7093C}"/>
    <cellStyle name="タイトル 2" xfId="33" xr:uid="{EADD691F-98E5-4494-9FFC-F48CF1A81C20}"/>
    <cellStyle name="チェック セル 2" xfId="34" xr:uid="{4A28388B-ADFE-4BD2-AB20-A3C7023B592B}"/>
    <cellStyle name="どちらでもない 2" xfId="35" xr:uid="{DF1F21AF-4306-4F72-AD71-9ADFD8B1EAC2}"/>
    <cellStyle name="メモ 2" xfId="36" xr:uid="{60228291-E09F-473E-A10E-EA064CFA93B4}"/>
    <cellStyle name="リンク セル 2" xfId="37" xr:uid="{6D00EDC0-5148-4CCE-A53D-59ED5C8FEF4A}"/>
    <cellStyle name="入力 2" xfId="52" xr:uid="{27E3E3C6-C2F9-40A4-9307-58275A6EC8FC}"/>
    <cellStyle name="出力 2" xfId="48" xr:uid="{CF99FB9B-CF83-4161-BBB5-46579454082B}"/>
    <cellStyle name="悪い 2" xfId="38" xr:uid="{6DE5F481-ACF0-4B46-A1C4-B4E754CAAA05}"/>
    <cellStyle name="桁区切り 2" xfId="2" xr:uid="{7AD5C3D5-1459-4210-8EE9-9A7084F40518}"/>
    <cellStyle name="桁蟻唇Ｆ [0.00]_Sheet2" xfId="41" xr:uid="{69424EBF-8745-4463-BAC3-8313FE8788B3}"/>
    <cellStyle name="桁蟻唇Ｆ_Sheet2" xfId="42" xr:uid="{245E78CE-6065-4123-9B8F-CD4C6ECA3EB8}"/>
    <cellStyle name="標準 2" xfId="1" xr:uid="{6F0F2DFF-DB36-4FD9-A79B-73D79D574F48}"/>
    <cellStyle name="標準 2 2" xfId="53" xr:uid="{99C291CE-086D-4C88-A694-C464A649A968}"/>
    <cellStyle name="標準 3" xfId="3" xr:uid="{C4ED3A81-0059-485C-AC5E-59DB062F357F}"/>
    <cellStyle name="脱浦 [0.00]_Sheet2" xfId="50" xr:uid="{DCBD5017-9227-4C7B-BBAD-CDB3A8DB5310}"/>
    <cellStyle name="脱浦_Sheet2" xfId="51" xr:uid="{F89D4EC1-B07D-470C-9D81-FB7E67920B0C}"/>
    <cellStyle name="良い 2" xfId="54" xr:uid="{FCE01946-5219-4A80-9470-841E255133C7}"/>
    <cellStyle name="見出し 1 2" xfId="43" xr:uid="{B58D3B66-D8AB-457F-8569-1D20853254E4}"/>
    <cellStyle name="見出し 2 2" xfId="44" xr:uid="{D423F28E-51C5-4685-A5C1-9126B4E84D0C}"/>
    <cellStyle name="見出し 3 2" xfId="45" xr:uid="{86ACDBF8-7A13-4CAD-9FC5-F00A7530FDF6}"/>
    <cellStyle name="見出し 4 2" xfId="46" xr:uid="{C3A2073C-7A66-47DF-B949-11F81D1D2036}"/>
    <cellStyle name="計算 2" xfId="39" xr:uid="{EB0F0259-0D03-4352-A6D7-A1E10F1B9654}"/>
    <cellStyle name="説明文 2" xfId="49" xr:uid="{C17FAE79-5A27-4F9D-995A-628A7D57307D}"/>
    <cellStyle name="警告文 2" xfId="40" xr:uid="{20EC30C1-E618-4760-A091-21BB3375FD20}"/>
    <cellStyle name="集計 2" xfId="47" xr:uid="{0AA94E25-CC71-49C1-B449-08C3381A9CCD}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B5D8318-B88F-48C0-B8D9-0112F9BC7638}">
      <tableStyleElement type="wholeTable" dxfId="49"/>
      <tableStyleElement type="headerRow" dxfId="48"/>
    </tableStyle>
  </tableStyles>
  <colors>
    <mruColors>
      <color rgb="FFFFCCCC"/>
      <color rgb="FFFEDA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91EE810-5F5C-4505-9655-D7ADDD1A7A87}">
    <nsvFilter filterId="{03F24B27-F672-44B2-8603-F0E83E1332C1}" ref="B4:GP20" tableId="0">
      <columnFilter colId="6">
        <filter colId="6">
          <x:filters>
            <x:filter val="Alvin"/>
            <x:filter val="Alvn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Yusri Anuar, Ahmad Ikhwan Bin" id="{0E9890FD-BE65-4B5B-BF32-E507AD02EDF9}" userId="S::ahmadikhwan.yusrianuar@fujitsu.com::95369f09-3c23-444a-aca9-ca4cfc7b21db" providerId="AD"/>
  <person displayName="Jaharuddin, Jannatil Anwar Bin" id="{66348632-943A-4DB6-A8EC-B5F9325C8607}" userId="S::jannatilanwar.jaharuddin@fujitsu.com::ef1d6093-9e6d-4782-b3d0-4608da28fb5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5" dT="2024-06-07T05:19:34.04" personId="{66348632-943A-4DB6-A8EC-B5F9325C8607}" id="{F5B428B4-E926-43D2-AF3E-50DB3B01FB49}">
    <text>While under SSS</text>
  </threadedComment>
  <threadedComment ref="CM36" dT="2023-07-24T05:53:12.54" personId="{0E9890FD-BE65-4B5B-BF32-E507AD02EDF9}" id="{23D2E1D8-1430-47C2-A9CF-3EC837837147}">
    <text>JMeter</text>
  </threadedComment>
  <threadedComment ref="CT36" dT="2022-03-30T01:17:59.01" personId="{0E9890FD-BE65-4B5B-BF32-E507AD02EDF9}" id="{6FB84628-B300-4A48-ADCD-5102A0912B15}">
    <text>Flutter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4B27-F672-44B2-8603-F0E83E1332C1}">
  <sheetPr codeName="Sheet1"/>
  <dimension ref="B1:GP59"/>
  <sheetViews>
    <sheetView showGridLines="0" tabSelected="1" topLeftCell="B1" zoomScaleNormal="100" workbookViewId="0">
      <pane xSplit="5" ySplit="4" topLeftCell="K5" activePane="bottomRight" state="frozen"/>
      <selection pane="bottomRight" activeCell="B10" sqref="B10"/>
      <selection pane="bottomLeft" activeCell="B5" sqref="B5"/>
      <selection pane="topRight" activeCell="G1" sqref="G1"/>
    </sheetView>
  </sheetViews>
  <sheetFormatPr defaultColWidth="18.83203125" defaultRowHeight="12" outlineLevelCol="1"/>
  <cols>
    <col min="1" max="2" width="18.83203125" style="1"/>
    <col min="3" max="3" width="50.5" style="1" customWidth="1"/>
    <col min="4" max="5" width="18.83203125" style="7"/>
    <col min="6" max="6" width="35" style="10" customWidth="1"/>
    <col min="7" max="11" width="18.83203125" style="7"/>
    <col min="12" max="19" width="18.83203125" style="1" customWidth="1" outlineLevel="1"/>
    <col min="20" max="22" width="18.83203125" style="7" customWidth="1" outlineLevel="1"/>
    <col min="23" max="23" width="18.83203125" style="1" customWidth="1" outlineLevel="1"/>
    <col min="24" max="24" width="18.83203125" style="7" customWidth="1" outlineLevel="1"/>
    <col min="25" max="25" width="18.83203125" style="1" customWidth="1" outlineLevel="1" collapsed="1"/>
    <col min="26" max="27" width="18.83203125" style="1" customWidth="1" outlineLevel="1"/>
    <col min="28" max="31" width="18.83203125" style="7" customWidth="1" outlineLevel="1"/>
    <col min="32" max="32" width="18.83203125" style="36" customWidth="1" outlineLevel="1"/>
    <col min="33" max="36" width="18.83203125" style="1" customWidth="1" outlineLevel="1"/>
    <col min="37" max="45" width="18.83203125" style="7" customWidth="1" outlineLevel="1"/>
    <col min="46" max="55" width="18.83203125" style="36" customWidth="1" outlineLevel="1"/>
    <col min="56" max="61" width="18.83203125" style="7" customWidth="1" outlineLevel="1"/>
    <col min="62" max="77" width="18.83203125" style="1" customWidth="1" outlineLevel="1"/>
    <col min="78" max="78" width="18.83203125" style="1" hidden="1" customWidth="1" outlineLevel="1"/>
    <col min="79" max="83" width="18.83203125" style="1" customWidth="1" outlineLevel="1"/>
    <col min="84" max="84" width="18.83203125" style="1" hidden="1" customWidth="1" outlineLevel="1"/>
    <col min="85" max="87" width="18.83203125" style="1" customWidth="1" outlineLevel="1"/>
    <col min="88" max="88" width="18.83203125" style="1" hidden="1" customWidth="1" outlineLevel="1"/>
    <col min="89" max="90" width="18.83203125" style="1" customWidth="1" outlineLevel="1"/>
    <col min="91" max="91" width="18.83203125" style="1" hidden="1" customWidth="1" outlineLevel="1"/>
    <col min="92" max="97" width="18.83203125" style="1" customWidth="1" outlineLevel="1"/>
    <col min="98" max="98" width="18.83203125" style="1" hidden="1" customWidth="1" outlineLevel="1"/>
    <col min="99" max="123" width="18.83203125" style="1" customWidth="1" outlineLevel="1"/>
    <col min="124" max="125" width="18.83203125" style="1" hidden="1" customWidth="1" outlineLevel="1"/>
    <col min="126" max="126" width="18.83203125" style="10"/>
    <col min="127" max="130" width="18.83203125" style="1"/>
    <col min="131" max="131" width="18.83203125" style="10"/>
    <col min="132" max="139" width="18.83203125" style="1"/>
    <col min="140" max="197" width="18.83203125" style="1" customWidth="1" outlineLevel="1"/>
    <col min="198" max="16384" width="18.83203125" style="1"/>
  </cols>
  <sheetData>
    <row r="1" spans="2:198">
      <c r="B1" s="1" t="s">
        <v>0</v>
      </c>
      <c r="C1" s="7"/>
      <c r="M1" s="8"/>
      <c r="N1" s="8"/>
    </row>
    <row r="2" spans="2:198" ht="12.75">
      <c r="B2" s="85"/>
      <c r="C2" s="85"/>
      <c r="D2" s="85"/>
      <c r="E2" s="81"/>
      <c r="F2" s="99"/>
      <c r="G2" s="83"/>
      <c r="H2" s="81"/>
      <c r="I2" s="124" t="s">
        <v>1</v>
      </c>
      <c r="J2" s="124"/>
      <c r="K2" s="125"/>
      <c r="L2" s="112" t="s">
        <v>2</v>
      </c>
      <c r="M2" s="113"/>
      <c r="N2" s="113"/>
      <c r="O2" s="113"/>
      <c r="P2" s="113"/>
      <c r="Q2" s="113"/>
      <c r="R2" s="113"/>
      <c r="S2" s="114"/>
      <c r="T2" s="112" t="s">
        <v>3</v>
      </c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  <c r="CD2" s="113"/>
      <c r="CE2" s="113"/>
      <c r="CF2" s="113"/>
      <c r="CG2" s="113"/>
      <c r="CH2" s="113"/>
      <c r="CI2" s="113"/>
      <c r="CJ2" s="113"/>
      <c r="CK2" s="113"/>
      <c r="CL2" s="113"/>
      <c r="CM2" s="113"/>
      <c r="CN2" s="113"/>
      <c r="CO2" s="113"/>
      <c r="CP2" s="113"/>
      <c r="CQ2" s="113"/>
      <c r="CR2" s="113"/>
      <c r="CS2" s="113"/>
      <c r="CT2" s="113"/>
      <c r="CU2" s="113"/>
      <c r="CV2" s="113"/>
      <c r="CW2" s="113"/>
      <c r="CX2" s="113"/>
      <c r="CY2" s="113"/>
      <c r="CZ2" s="113"/>
      <c r="DA2" s="113"/>
      <c r="DB2" s="113"/>
      <c r="DC2" s="113"/>
      <c r="DD2" s="113"/>
      <c r="DE2" s="113"/>
      <c r="DF2" s="113"/>
      <c r="DG2" s="113"/>
      <c r="DH2" s="113"/>
      <c r="DI2" s="113"/>
      <c r="DJ2" s="113"/>
      <c r="DK2" s="113"/>
      <c r="DL2" s="113"/>
      <c r="DM2" s="113"/>
      <c r="DN2" s="113"/>
      <c r="DO2" s="113"/>
      <c r="DP2" s="113"/>
      <c r="DQ2" s="113"/>
      <c r="DR2" s="113"/>
      <c r="DS2" s="113"/>
      <c r="DT2" s="113"/>
      <c r="DU2" s="113"/>
      <c r="DV2" s="114"/>
      <c r="DW2" s="107" t="s">
        <v>4</v>
      </c>
      <c r="DX2" s="108"/>
      <c r="DY2" s="108"/>
      <c r="DZ2" s="109"/>
      <c r="EA2" s="59" t="s">
        <v>5</v>
      </c>
      <c r="EB2" s="112" t="s">
        <v>6</v>
      </c>
      <c r="EC2" s="113"/>
      <c r="ED2" s="113"/>
      <c r="EE2" s="113"/>
      <c r="EF2" s="113"/>
      <c r="EG2" s="113"/>
      <c r="EH2" s="113"/>
      <c r="EI2" s="114"/>
      <c r="EJ2" s="118" t="s">
        <v>7</v>
      </c>
      <c r="EK2" s="119"/>
      <c r="EL2" s="119"/>
      <c r="EM2" s="119"/>
      <c r="EN2" s="119"/>
      <c r="EO2" s="119"/>
      <c r="EP2" s="119"/>
      <c r="EQ2" s="119"/>
      <c r="ER2" s="119"/>
      <c r="ES2" s="119"/>
      <c r="ET2" s="119"/>
      <c r="EU2" s="119"/>
      <c r="EV2" s="119"/>
      <c r="EW2" s="119"/>
      <c r="EX2" s="119"/>
      <c r="EY2" s="119"/>
      <c r="EZ2" s="119"/>
      <c r="FA2" s="119"/>
      <c r="FB2" s="119"/>
      <c r="FC2" s="119"/>
      <c r="FD2" s="119"/>
      <c r="FE2" s="119"/>
      <c r="FF2" s="119"/>
      <c r="FG2" s="119"/>
      <c r="FH2" s="119"/>
      <c r="FI2" s="119"/>
      <c r="FJ2" s="119"/>
      <c r="FK2" s="119"/>
      <c r="FL2" s="119"/>
      <c r="FM2" s="119"/>
      <c r="FN2" s="119"/>
      <c r="FO2" s="119"/>
      <c r="FP2" s="119"/>
      <c r="FQ2" s="119"/>
      <c r="FR2" s="119"/>
      <c r="FS2" s="119"/>
      <c r="FT2" s="119"/>
      <c r="FU2" s="119"/>
      <c r="FV2" s="119"/>
      <c r="FW2" s="119"/>
      <c r="FX2" s="119"/>
      <c r="FY2" s="119"/>
      <c r="FZ2" s="119"/>
      <c r="GA2" s="119"/>
      <c r="GB2" s="119"/>
      <c r="GC2" s="119"/>
      <c r="GD2" s="119"/>
      <c r="GE2" s="119"/>
      <c r="GF2" s="119"/>
      <c r="GG2" s="119"/>
      <c r="GH2" s="119"/>
      <c r="GI2" s="119"/>
      <c r="GJ2" s="119"/>
      <c r="GK2" s="119"/>
      <c r="GL2" s="119"/>
      <c r="GM2" s="119"/>
      <c r="GN2" s="119"/>
      <c r="GO2" s="120"/>
      <c r="GP2" s="22" t="s">
        <v>8</v>
      </c>
    </row>
    <row r="3" spans="2:198">
      <c r="B3" s="86"/>
      <c r="C3" s="86"/>
      <c r="D3" s="86"/>
      <c r="E3" s="82"/>
      <c r="F3" s="100"/>
      <c r="G3" s="84"/>
      <c r="H3" s="86"/>
      <c r="I3" s="89"/>
      <c r="J3" s="89"/>
      <c r="K3" s="89"/>
      <c r="L3" s="115" t="s">
        <v>9</v>
      </c>
      <c r="M3" s="116"/>
      <c r="N3" s="116"/>
      <c r="O3" s="105" t="s">
        <v>10</v>
      </c>
      <c r="P3" s="106"/>
      <c r="Q3" s="47" t="s">
        <v>11</v>
      </c>
      <c r="R3" s="47" t="s">
        <v>12</v>
      </c>
      <c r="S3" s="47" t="s">
        <v>13</v>
      </c>
      <c r="T3" s="121" t="s">
        <v>14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3"/>
      <c r="BD3" s="70"/>
      <c r="BE3" s="70"/>
      <c r="BF3" s="70"/>
      <c r="BG3" s="70"/>
      <c r="BH3" s="70"/>
      <c r="BI3" s="71"/>
      <c r="BJ3" s="111" t="s">
        <v>15</v>
      </c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 t="s">
        <v>16</v>
      </c>
      <c r="BW3" s="111"/>
      <c r="BX3" s="111"/>
      <c r="BY3" s="111"/>
      <c r="BZ3" s="111"/>
      <c r="CA3" s="111" t="s">
        <v>17</v>
      </c>
      <c r="CB3" s="111"/>
      <c r="CC3" s="111"/>
      <c r="CD3" s="111"/>
      <c r="CE3" s="111"/>
      <c r="CF3" s="111"/>
      <c r="CG3" s="111" t="s">
        <v>18</v>
      </c>
      <c r="CH3" s="111"/>
      <c r="CI3" s="111"/>
      <c r="CJ3" s="111"/>
      <c r="CK3" s="111" t="s">
        <v>19</v>
      </c>
      <c r="CL3" s="111"/>
      <c r="CM3" s="111"/>
      <c r="CN3" s="111" t="s">
        <v>20</v>
      </c>
      <c r="CO3" s="111"/>
      <c r="CP3" s="111"/>
      <c r="CQ3" s="111"/>
      <c r="CR3" s="111"/>
      <c r="CS3" s="111"/>
      <c r="CT3" s="111"/>
      <c r="CU3" s="111" t="s">
        <v>21</v>
      </c>
      <c r="CV3" s="111"/>
      <c r="CW3" s="111"/>
      <c r="CX3" s="111" t="s">
        <v>22</v>
      </c>
      <c r="CY3" s="111"/>
      <c r="CZ3" s="111"/>
      <c r="DA3" s="111"/>
      <c r="DB3" s="111"/>
      <c r="DC3" s="111" t="s">
        <v>23</v>
      </c>
      <c r="DD3" s="111"/>
      <c r="DE3" s="111"/>
      <c r="DF3" s="111"/>
      <c r="DG3" s="111"/>
      <c r="DH3" s="111" t="s">
        <v>24</v>
      </c>
      <c r="DI3" s="111"/>
      <c r="DJ3" s="111"/>
      <c r="DK3" s="111"/>
      <c r="DL3" s="111" t="s">
        <v>25</v>
      </c>
      <c r="DM3" s="111"/>
      <c r="DN3" s="111"/>
      <c r="DO3" s="111"/>
      <c r="DP3" s="111"/>
      <c r="DQ3" s="111"/>
      <c r="DR3" s="111"/>
      <c r="DS3" s="111"/>
      <c r="DT3" s="111"/>
      <c r="DU3" s="111"/>
      <c r="DV3" s="98"/>
      <c r="DW3" s="102" t="s">
        <v>26</v>
      </c>
      <c r="DX3" s="103"/>
      <c r="DY3" s="104"/>
      <c r="DZ3" s="56"/>
      <c r="EA3" s="91"/>
      <c r="EB3" s="117" t="s">
        <v>27</v>
      </c>
      <c r="EC3" s="117"/>
      <c r="ED3" s="117"/>
      <c r="EE3" s="117"/>
      <c r="EF3" s="117" t="s">
        <v>28</v>
      </c>
      <c r="EG3" s="117"/>
      <c r="EH3" s="117"/>
      <c r="EI3" s="117"/>
      <c r="EJ3" s="110" t="s">
        <v>29</v>
      </c>
      <c r="EK3" s="110"/>
      <c r="EL3" s="110"/>
      <c r="EM3" s="110"/>
      <c r="EN3" s="110"/>
      <c r="EO3" s="110" t="s">
        <v>30</v>
      </c>
      <c r="EP3" s="110"/>
      <c r="EQ3" s="110"/>
      <c r="ER3" s="110"/>
      <c r="ES3" s="110"/>
      <c r="ET3" s="110"/>
      <c r="EU3" s="110"/>
      <c r="EV3" s="110"/>
      <c r="EW3" s="110"/>
      <c r="EX3" s="110"/>
      <c r="EY3" s="110"/>
      <c r="EZ3" s="110"/>
      <c r="FA3" s="110"/>
      <c r="FB3" s="110"/>
      <c r="FC3" s="110" t="s">
        <v>13</v>
      </c>
      <c r="FD3" s="110"/>
      <c r="FE3" s="110"/>
      <c r="FF3" s="110"/>
      <c r="FG3" s="110"/>
      <c r="FH3" s="110"/>
      <c r="FI3" s="110"/>
      <c r="FJ3" s="110"/>
      <c r="FK3" s="110"/>
      <c r="FL3" s="110"/>
      <c r="FM3" s="110"/>
      <c r="FN3" s="110"/>
      <c r="FO3" s="110" t="s">
        <v>31</v>
      </c>
      <c r="FP3" s="110"/>
      <c r="FQ3" s="110"/>
      <c r="FR3" s="110"/>
      <c r="FS3" s="110"/>
      <c r="FT3" s="110"/>
      <c r="FU3" s="110" t="s">
        <v>32</v>
      </c>
      <c r="FV3" s="110"/>
      <c r="FW3" s="110"/>
      <c r="FX3" s="110"/>
      <c r="FY3" s="110"/>
      <c r="FZ3" s="110"/>
      <c r="GA3" s="110"/>
      <c r="GB3" s="110"/>
      <c r="GC3" s="110"/>
      <c r="GD3" s="110"/>
      <c r="GE3" s="110"/>
      <c r="GF3" s="110"/>
      <c r="GG3" s="110"/>
      <c r="GH3" s="110"/>
      <c r="GI3" s="110"/>
      <c r="GJ3" s="110" t="s">
        <v>33</v>
      </c>
      <c r="GK3" s="110"/>
      <c r="GL3" s="110"/>
      <c r="GM3" s="118" t="s">
        <v>34</v>
      </c>
      <c r="GN3" s="119"/>
      <c r="GO3" s="120"/>
      <c r="GP3" s="23"/>
    </row>
    <row r="4" spans="2:198" ht="48">
      <c r="B4" s="87" t="s">
        <v>35</v>
      </c>
      <c r="C4" s="87" t="s">
        <v>36</v>
      </c>
      <c r="D4" s="88" t="s">
        <v>37</v>
      </c>
      <c r="E4" s="78" t="s">
        <v>38</v>
      </c>
      <c r="F4" s="101" t="s">
        <v>39</v>
      </c>
      <c r="G4" s="80" t="s">
        <v>40</v>
      </c>
      <c r="H4" s="88" t="s">
        <v>41</v>
      </c>
      <c r="I4" s="79" t="s">
        <v>42</v>
      </c>
      <c r="J4" s="79" t="s">
        <v>43</v>
      </c>
      <c r="K4" s="79" t="s">
        <v>44</v>
      </c>
      <c r="L4" s="90" t="s">
        <v>45</v>
      </c>
      <c r="M4" s="42" t="s">
        <v>46</v>
      </c>
      <c r="N4" s="41" t="s">
        <v>47</v>
      </c>
      <c r="O4" s="43" t="s">
        <v>48</v>
      </c>
      <c r="P4" s="44" t="s">
        <v>49</v>
      </c>
      <c r="Q4" s="45" t="s">
        <v>50</v>
      </c>
      <c r="R4" s="46" t="s">
        <v>51</v>
      </c>
      <c r="S4" s="77" t="s">
        <v>13</v>
      </c>
      <c r="T4" s="48" t="s">
        <v>52</v>
      </c>
      <c r="U4" s="49" t="s">
        <v>53</v>
      </c>
      <c r="V4" s="53" t="s">
        <v>54</v>
      </c>
      <c r="W4" s="48" t="s">
        <v>55</v>
      </c>
      <c r="X4" s="49" t="s">
        <v>56</v>
      </c>
      <c r="Y4" s="48" t="s">
        <v>57</v>
      </c>
      <c r="Z4" s="48" t="s">
        <v>58</v>
      </c>
      <c r="AA4" s="48" t="s">
        <v>59</v>
      </c>
      <c r="AB4" s="49" t="s">
        <v>60</v>
      </c>
      <c r="AC4" s="49" t="s">
        <v>61</v>
      </c>
      <c r="AD4" s="49" t="s">
        <v>62</v>
      </c>
      <c r="AE4" s="49" t="s">
        <v>63</v>
      </c>
      <c r="AF4" s="49" t="s">
        <v>64</v>
      </c>
      <c r="AG4" s="48" t="s">
        <v>65</v>
      </c>
      <c r="AH4" s="48" t="s">
        <v>66</v>
      </c>
      <c r="AI4" s="48" t="s">
        <v>67</v>
      </c>
      <c r="AJ4" s="48" t="s">
        <v>68</v>
      </c>
      <c r="AK4" s="49" t="s">
        <v>69</v>
      </c>
      <c r="AL4" s="49" t="s">
        <v>70</v>
      </c>
      <c r="AM4" s="49" t="s">
        <v>71</v>
      </c>
      <c r="AN4" s="49" t="s">
        <v>72</v>
      </c>
      <c r="AO4" s="49" t="s">
        <v>73</v>
      </c>
      <c r="AP4" s="49" t="s">
        <v>74</v>
      </c>
      <c r="AQ4" s="49" t="s">
        <v>75</v>
      </c>
      <c r="AR4" s="49" t="s">
        <v>76</v>
      </c>
      <c r="AS4" s="49" t="s">
        <v>77</v>
      </c>
      <c r="AT4" s="49" t="s">
        <v>78</v>
      </c>
      <c r="AU4" s="49" t="s">
        <v>79</v>
      </c>
      <c r="AV4" s="49" t="s">
        <v>80</v>
      </c>
      <c r="AW4" s="49" t="s">
        <v>81</v>
      </c>
      <c r="AX4" s="49" t="s">
        <v>82</v>
      </c>
      <c r="AY4" s="49" t="s">
        <v>83</v>
      </c>
      <c r="AZ4" s="49" t="s">
        <v>84</v>
      </c>
      <c r="BA4" s="49" t="s">
        <v>85</v>
      </c>
      <c r="BB4" s="49" t="s">
        <v>86</v>
      </c>
      <c r="BC4" s="49" t="s">
        <v>87</v>
      </c>
      <c r="BD4" s="49" t="s">
        <v>88</v>
      </c>
      <c r="BE4" s="49" t="s">
        <v>89</v>
      </c>
      <c r="BF4" s="49" t="s">
        <v>90</v>
      </c>
      <c r="BG4" s="49" t="s">
        <v>91</v>
      </c>
      <c r="BH4" s="49" t="s">
        <v>92</v>
      </c>
      <c r="BI4" s="49" t="s">
        <v>93</v>
      </c>
      <c r="BJ4" s="49" t="s">
        <v>94</v>
      </c>
      <c r="BK4" s="49" t="s">
        <v>95</v>
      </c>
      <c r="BL4" s="49" t="s">
        <v>96</v>
      </c>
      <c r="BM4" s="49" t="s">
        <v>97</v>
      </c>
      <c r="BN4" s="49" t="s">
        <v>98</v>
      </c>
      <c r="BO4" s="49" t="s">
        <v>99</v>
      </c>
      <c r="BP4" s="49" t="s">
        <v>100</v>
      </c>
      <c r="BQ4" s="49" t="s">
        <v>101</v>
      </c>
      <c r="BR4" s="49" t="s">
        <v>102</v>
      </c>
      <c r="BS4" s="49" t="s">
        <v>103</v>
      </c>
      <c r="BT4" s="49" t="s">
        <v>104</v>
      </c>
      <c r="BU4" s="49" t="s">
        <v>105</v>
      </c>
      <c r="BV4" s="49" t="s">
        <v>106</v>
      </c>
      <c r="BW4" s="49" t="s">
        <v>107</v>
      </c>
      <c r="BX4" s="49" t="s">
        <v>100</v>
      </c>
      <c r="BY4" s="49" t="s">
        <v>101</v>
      </c>
      <c r="BZ4" s="49" t="s">
        <v>108</v>
      </c>
      <c r="CA4" s="49" t="s">
        <v>106</v>
      </c>
      <c r="CB4" s="49" t="s">
        <v>107</v>
      </c>
      <c r="CC4" s="49" t="s">
        <v>91</v>
      </c>
      <c r="CD4" s="49" t="s">
        <v>100</v>
      </c>
      <c r="CE4" s="49" t="s">
        <v>101</v>
      </c>
      <c r="CF4" s="49" t="s">
        <v>108</v>
      </c>
      <c r="CG4" s="49" t="s">
        <v>109</v>
      </c>
      <c r="CH4" s="53" t="s">
        <v>110</v>
      </c>
      <c r="CI4" s="53" t="s">
        <v>111</v>
      </c>
      <c r="CJ4" s="49" t="s">
        <v>108</v>
      </c>
      <c r="CK4" s="49" t="s">
        <v>112</v>
      </c>
      <c r="CL4" s="53" t="s">
        <v>113</v>
      </c>
      <c r="CM4" s="49" t="s">
        <v>108</v>
      </c>
      <c r="CN4" s="49" t="s">
        <v>114</v>
      </c>
      <c r="CO4" s="49" t="s">
        <v>115</v>
      </c>
      <c r="CP4" s="49" t="s">
        <v>116</v>
      </c>
      <c r="CQ4" s="49" t="s">
        <v>117</v>
      </c>
      <c r="CR4" s="49" t="s">
        <v>118</v>
      </c>
      <c r="CS4" s="49" t="s">
        <v>119</v>
      </c>
      <c r="CT4" s="49" t="s">
        <v>108</v>
      </c>
      <c r="CU4" s="49" t="s">
        <v>120</v>
      </c>
      <c r="CV4" s="49" t="s">
        <v>121</v>
      </c>
      <c r="CW4" s="49" t="s">
        <v>108</v>
      </c>
      <c r="CX4" s="49" t="s">
        <v>122</v>
      </c>
      <c r="CY4" s="49" t="s">
        <v>123</v>
      </c>
      <c r="CZ4" s="49" t="s">
        <v>124</v>
      </c>
      <c r="DA4" s="49" t="s">
        <v>125</v>
      </c>
      <c r="DB4" s="49" t="s">
        <v>126</v>
      </c>
      <c r="DC4" s="49" t="s">
        <v>127</v>
      </c>
      <c r="DD4" s="49" t="s">
        <v>128</v>
      </c>
      <c r="DE4" s="49" t="s">
        <v>129</v>
      </c>
      <c r="DF4" s="49" t="s">
        <v>130</v>
      </c>
      <c r="DG4" s="49" t="s">
        <v>131</v>
      </c>
      <c r="DH4" s="49" t="s">
        <v>132</v>
      </c>
      <c r="DI4" s="49" t="s">
        <v>133</v>
      </c>
      <c r="DJ4" s="49" t="s">
        <v>134</v>
      </c>
      <c r="DK4" s="49" t="s">
        <v>135</v>
      </c>
      <c r="DL4" s="49" t="s">
        <v>136</v>
      </c>
      <c r="DM4" s="49" t="s">
        <v>137</v>
      </c>
      <c r="DN4" s="49" t="s">
        <v>138</v>
      </c>
      <c r="DO4" s="49" t="s">
        <v>139</v>
      </c>
      <c r="DP4" s="49" t="s">
        <v>140</v>
      </c>
      <c r="DQ4" s="49" t="s">
        <v>141</v>
      </c>
      <c r="DR4" s="49" t="s">
        <v>142</v>
      </c>
      <c r="DS4" s="49" t="s">
        <v>143</v>
      </c>
      <c r="DT4" s="54" t="s">
        <v>144</v>
      </c>
      <c r="DU4" s="54" t="s">
        <v>145</v>
      </c>
      <c r="DV4" s="98" t="s">
        <v>146</v>
      </c>
      <c r="DW4" s="50" t="s">
        <v>147</v>
      </c>
      <c r="DX4" s="50" t="s">
        <v>148</v>
      </c>
      <c r="DY4" s="51" t="s">
        <v>149</v>
      </c>
      <c r="DZ4" s="51" t="s">
        <v>150</v>
      </c>
      <c r="EA4" s="92" t="s">
        <v>151</v>
      </c>
      <c r="EB4" s="47" t="s">
        <v>152</v>
      </c>
      <c r="EC4" s="47" t="s">
        <v>153</v>
      </c>
      <c r="ED4" s="47" t="s">
        <v>154</v>
      </c>
      <c r="EE4" s="47" t="s">
        <v>155</v>
      </c>
      <c r="EF4" s="47" t="s">
        <v>152</v>
      </c>
      <c r="EG4" s="47" t="s">
        <v>153</v>
      </c>
      <c r="EH4" s="47" t="s">
        <v>154</v>
      </c>
      <c r="EI4" s="47" t="s">
        <v>156</v>
      </c>
      <c r="EJ4" s="52" t="s">
        <v>157</v>
      </c>
      <c r="EK4" s="52" t="s">
        <v>158</v>
      </c>
      <c r="EL4" s="52" t="s">
        <v>159</v>
      </c>
      <c r="EM4" s="52" t="s">
        <v>160</v>
      </c>
      <c r="EN4" s="52" t="s">
        <v>161</v>
      </c>
      <c r="EO4" s="52" t="s">
        <v>162</v>
      </c>
      <c r="EP4" s="52" t="s">
        <v>163</v>
      </c>
      <c r="EQ4" s="52" t="s">
        <v>164</v>
      </c>
      <c r="ER4" s="52" t="s">
        <v>165</v>
      </c>
      <c r="ES4" s="52" t="s">
        <v>166</v>
      </c>
      <c r="ET4" s="52" t="s">
        <v>167</v>
      </c>
      <c r="EU4" s="52" t="s">
        <v>168</v>
      </c>
      <c r="EV4" s="52" t="s">
        <v>169</v>
      </c>
      <c r="EW4" s="52" t="s">
        <v>170</v>
      </c>
      <c r="EX4" s="52" t="s">
        <v>171</v>
      </c>
      <c r="EY4" s="52" t="s">
        <v>172</v>
      </c>
      <c r="EZ4" s="52" t="s">
        <v>173</v>
      </c>
      <c r="FA4" s="52" t="s">
        <v>174</v>
      </c>
      <c r="FB4" s="52" t="s">
        <v>175</v>
      </c>
      <c r="FC4" s="52" t="s">
        <v>176</v>
      </c>
      <c r="FD4" s="52" t="s">
        <v>177</v>
      </c>
      <c r="FE4" s="52" t="s">
        <v>178</v>
      </c>
      <c r="FF4" s="52" t="s">
        <v>179</v>
      </c>
      <c r="FG4" s="52" t="s">
        <v>180</v>
      </c>
      <c r="FH4" s="52" t="s">
        <v>181</v>
      </c>
      <c r="FI4" s="52" t="s">
        <v>182</v>
      </c>
      <c r="FJ4" s="52" t="s">
        <v>183</v>
      </c>
      <c r="FK4" s="52" t="s">
        <v>184</v>
      </c>
      <c r="FL4" s="52" t="s">
        <v>185</v>
      </c>
      <c r="FM4" s="52" t="s">
        <v>186</v>
      </c>
      <c r="FN4" s="52" t="s">
        <v>187</v>
      </c>
      <c r="FO4" s="52" t="s">
        <v>188</v>
      </c>
      <c r="FP4" s="52" t="s">
        <v>189</v>
      </c>
      <c r="FQ4" s="52" t="s">
        <v>190</v>
      </c>
      <c r="FR4" s="52" t="s">
        <v>191</v>
      </c>
      <c r="FS4" s="52" t="s">
        <v>192</v>
      </c>
      <c r="FT4" s="52" t="s">
        <v>193</v>
      </c>
      <c r="FU4" s="52" t="s">
        <v>194</v>
      </c>
      <c r="FV4" s="52" t="s">
        <v>195</v>
      </c>
      <c r="FW4" s="52" t="s">
        <v>196</v>
      </c>
      <c r="FX4" s="52" t="s">
        <v>197</v>
      </c>
      <c r="FY4" s="52" t="s">
        <v>198</v>
      </c>
      <c r="FZ4" s="52" t="s">
        <v>199</v>
      </c>
      <c r="GA4" s="52" t="s">
        <v>200</v>
      </c>
      <c r="GB4" s="52" t="s">
        <v>201</v>
      </c>
      <c r="GC4" s="52" t="s">
        <v>202</v>
      </c>
      <c r="GD4" s="52" t="s">
        <v>203</v>
      </c>
      <c r="GE4" s="52" t="s">
        <v>204</v>
      </c>
      <c r="GF4" s="52" t="s">
        <v>205</v>
      </c>
      <c r="GG4" s="52" t="s">
        <v>206</v>
      </c>
      <c r="GH4" s="52" t="s">
        <v>207</v>
      </c>
      <c r="GI4" s="52" t="s">
        <v>208</v>
      </c>
      <c r="GJ4" s="52" t="s">
        <v>209</v>
      </c>
      <c r="GK4" s="52" t="s">
        <v>210</v>
      </c>
      <c r="GL4" s="52" t="s">
        <v>211</v>
      </c>
      <c r="GM4" s="52" t="s">
        <v>212</v>
      </c>
      <c r="GN4" s="52" t="s">
        <v>213</v>
      </c>
      <c r="GO4" s="52" t="s">
        <v>214</v>
      </c>
      <c r="GP4" s="52" t="s">
        <v>215</v>
      </c>
    </row>
    <row r="5" spans="2:198">
      <c r="B5" s="72">
        <v>45471</v>
      </c>
      <c r="C5" s="67" t="s">
        <v>216</v>
      </c>
      <c r="D5" s="29">
        <v>220113410</v>
      </c>
      <c r="E5" s="29" t="s">
        <v>217</v>
      </c>
      <c r="F5" s="74" t="s">
        <v>216</v>
      </c>
      <c r="G5" s="29" t="s">
        <v>218</v>
      </c>
      <c r="H5" s="29" t="s">
        <v>219</v>
      </c>
      <c r="I5" s="74" t="s">
        <v>220</v>
      </c>
      <c r="J5" s="74" t="s">
        <v>56</v>
      </c>
      <c r="K5" s="74" t="s">
        <v>63</v>
      </c>
      <c r="L5" s="14">
        <v>2</v>
      </c>
      <c r="M5" s="14">
        <v>2</v>
      </c>
      <c r="N5" s="14">
        <v>2</v>
      </c>
      <c r="O5" s="14">
        <v>3</v>
      </c>
      <c r="P5" s="14">
        <v>3</v>
      </c>
      <c r="Q5" s="14">
        <v>2</v>
      </c>
      <c r="R5" s="14">
        <v>2</v>
      </c>
      <c r="S5" s="14"/>
      <c r="T5" s="14">
        <v>1</v>
      </c>
      <c r="U5" s="14">
        <v>1</v>
      </c>
      <c r="V5" s="14">
        <v>3</v>
      </c>
      <c r="W5" s="14">
        <v>3</v>
      </c>
      <c r="X5" s="14">
        <v>5</v>
      </c>
      <c r="Y5" s="14">
        <v>5</v>
      </c>
      <c r="Z5" s="14"/>
      <c r="AA5" s="14"/>
      <c r="AB5" s="14">
        <v>2</v>
      </c>
      <c r="AC5" s="14">
        <v>2</v>
      </c>
      <c r="AD5" s="14">
        <v>2</v>
      </c>
      <c r="AE5" s="14">
        <v>5</v>
      </c>
      <c r="AF5" s="14">
        <v>2</v>
      </c>
      <c r="AG5" s="14">
        <v>3</v>
      </c>
      <c r="AH5" s="14">
        <v>2</v>
      </c>
      <c r="AI5" s="14">
        <v>0</v>
      </c>
      <c r="AJ5" s="14">
        <v>0</v>
      </c>
      <c r="AK5" s="14">
        <v>0</v>
      </c>
      <c r="AL5" s="14">
        <v>1</v>
      </c>
      <c r="AM5" s="14">
        <v>0</v>
      </c>
      <c r="AN5" s="14">
        <v>3</v>
      </c>
      <c r="AO5" s="14">
        <v>3</v>
      </c>
      <c r="AP5" s="14">
        <v>3</v>
      </c>
      <c r="AQ5" s="14">
        <v>0</v>
      </c>
      <c r="AR5" s="14">
        <v>3</v>
      </c>
      <c r="AS5" s="14">
        <v>0</v>
      </c>
      <c r="AT5" s="14">
        <v>0</v>
      </c>
      <c r="AU5" s="14">
        <v>0</v>
      </c>
      <c r="AV5" s="14">
        <v>1</v>
      </c>
      <c r="AW5" s="14">
        <v>0</v>
      </c>
      <c r="AX5" s="14">
        <v>0</v>
      </c>
      <c r="AY5" s="14">
        <v>1</v>
      </c>
      <c r="AZ5" s="14">
        <v>3</v>
      </c>
      <c r="BA5" s="14">
        <v>0</v>
      </c>
      <c r="BB5" s="14">
        <v>1</v>
      </c>
      <c r="BC5" s="14">
        <v>2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5</v>
      </c>
      <c r="BP5" s="14">
        <v>2</v>
      </c>
      <c r="BQ5" s="14">
        <v>0</v>
      </c>
      <c r="BR5" s="14">
        <v>1</v>
      </c>
      <c r="BS5" s="14">
        <v>5</v>
      </c>
      <c r="BT5" s="14">
        <v>1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2</v>
      </c>
      <c r="CE5" s="14">
        <v>0</v>
      </c>
      <c r="CF5" s="14">
        <v>0</v>
      </c>
      <c r="CG5" s="14">
        <v>1</v>
      </c>
      <c r="CH5" s="14">
        <v>1</v>
      </c>
      <c r="CI5" s="14">
        <v>0</v>
      </c>
      <c r="CJ5" s="14">
        <v>0</v>
      </c>
      <c r="CK5" s="14">
        <v>5</v>
      </c>
      <c r="CL5" s="14">
        <v>5</v>
      </c>
      <c r="CM5" s="14">
        <v>5</v>
      </c>
      <c r="CN5" s="14">
        <v>1</v>
      </c>
      <c r="CO5" s="14">
        <v>1</v>
      </c>
      <c r="CP5" s="14">
        <v>1</v>
      </c>
      <c r="CQ5" s="14">
        <v>0</v>
      </c>
      <c r="CR5" s="14">
        <v>2</v>
      </c>
      <c r="CS5" s="14"/>
      <c r="CT5" s="14">
        <v>1</v>
      </c>
      <c r="CU5" s="14">
        <v>0</v>
      </c>
      <c r="CV5" s="14">
        <v>0</v>
      </c>
      <c r="CW5" s="14">
        <v>0</v>
      </c>
      <c r="CX5" s="14">
        <v>1</v>
      </c>
      <c r="CY5" s="14">
        <v>1</v>
      </c>
      <c r="CZ5" s="14">
        <v>2</v>
      </c>
      <c r="DA5" s="14">
        <v>1</v>
      </c>
      <c r="DB5" s="14">
        <v>0</v>
      </c>
      <c r="DC5" s="29">
        <v>1</v>
      </c>
      <c r="DD5" s="29">
        <v>1</v>
      </c>
      <c r="DE5" s="29">
        <v>2</v>
      </c>
      <c r="DF5" s="14">
        <v>0</v>
      </c>
      <c r="DG5" s="14">
        <v>0</v>
      </c>
      <c r="DH5" s="14">
        <v>0</v>
      </c>
      <c r="DI5" s="29">
        <v>1</v>
      </c>
      <c r="DJ5" s="29">
        <v>2</v>
      </c>
      <c r="DK5" s="29">
        <v>2</v>
      </c>
      <c r="DL5" s="14">
        <v>0</v>
      </c>
      <c r="DM5" s="29">
        <v>2</v>
      </c>
      <c r="DN5" s="14">
        <v>0</v>
      </c>
      <c r="DO5" s="14">
        <v>0</v>
      </c>
      <c r="DP5" s="14">
        <v>5</v>
      </c>
      <c r="DQ5" s="14">
        <v>0</v>
      </c>
      <c r="DR5" s="14">
        <v>2</v>
      </c>
      <c r="DS5" s="14">
        <v>2</v>
      </c>
      <c r="DT5" s="29">
        <v>5</v>
      </c>
      <c r="DU5" s="14">
        <v>0</v>
      </c>
      <c r="DV5" s="57" t="s">
        <v>221</v>
      </c>
      <c r="DW5" s="15">
        <v>0</v>
      </c>
      <c r="DX5" s="15">
        <v>0</v>
      </c>
      <c r="DY5" s="15">
        <v>0</v>
      </c>
      <c r="DZ5" s="15">
        <v>1</v>
      </c>
      <c r="EA5" s="93" t="s">
        <v>222</v>
      </c>
      <c r="EB5" s="14">
        <v>0</v>
      </c>
      <c r="EC5" s="14">
        <v>0</v>
      </c>
      <c r="ED5" s="14">
        <v>0</v>
      </c>
      <c r="EE5" s="14">
        <v>0</v>
      </c>
      <c r="EF5" s="28">
        <v>0</v>
      </c>
      <c r="EG5" s="28">
        <v>0</v>
      </c>
      <c r="EH5" s="28">
        <v>0</v>
      </c>
      <c r="EI5" s="29" t="s">
        <v>223</v>
      </c>
      <c r="EJ5" s="25" t="s">
        <v>224</v>
      </c>
      <c r="EK5" s="25" t="s">
        <v>224</v>
      </c>
      <c r="EL5" s="25" t="s">
        <v>224</v>
      </c>
      <c r="EM5" s="25" t="s">
        <v>224</v>
      </c>
      <c r="EN5" s="25" t="s">
        <v>224</v>
      </c>
      <c r="EO5" s="55" t="s">
        <v>224</v>
      </c>
      <c r="EP5" s="55" t="s">
        <v>224</v>
      </c>
      <c r="EQ5" s="55" t="s">
        <v>224</v>
      </c>
      <c r="ER5" s="55" t="s">
        <v>224</v>
      </c>
      <c r="ES5" s="55" t="s">
        <v>224</v>
      </c>
      <c r="ET5" s="55" t="s">
        <v>224</v>
      </c>
      <c r="EU5" s="25" t="s">
        <v>224</v>
      </c>
      <c r="EV5" s="25" t="s">
        <v>224</v>
      </c>
      <c r="EW5" s="25" t="s">
        <v>224</v>
      </c>
      <c r="EX5" s="25" t="s">
        <v>224</v>
      </c>
      <c r="EY5" s="25" t="s">
        <v>224</v>
      </c>
      <c r="EZ5" s="25" t="s">
        <v>224</v>
      </c>
      <c r="FA5" s="25" t="s">
        <v>224</v>
      </c>
      <c r="FB5" s="25" t="s">
        <v>224</v>
      </c>
      <c r="FC5" s="25" t="s">
        <v>224</v>
      </c>
      <c r="FD5" s="25" t="s">
        <v>224</v>
      </c>
      <c r="FE5" s="25" t="s">
        <v>224</v>
      </c>
      <c r="FF5" s="25" t="s">
        <v>224</v>
      </c>
      <c r="FG5" s="25" t="s">
        <v>224</v>
      </c>
      <c r="FH5" s="25" t="s">
        <v>224</v>
      </c>
      <c r="FI5" s="25" t="s">
        <v>224</v>
      </c>
      <c r="FJ5" s="25" t="s">
        <v>224</v>
      </c>
      <c r="FK5" s="25" t="s">
        <v>224</v>
      </c>
      <c r="FL5" s="25" t="s">
        <v>224</v>
      </c>
      <c r="FM5" s="25" t="s">
        <v>224</v>
      </c>
      <c r="FN5" s="25" t="s">
        <v>224</v>
      </c>
      <c r="FO5" s="25" t="s">
        <v>224</v>
      </c>
      <c r="FP5" s="25" t="s">
        <v>225</v>
      </c>
      <c r="FQ5" s="25" t="s">
        <v>224</v>
      </c>
      <c r="FR5" s="25" t="s">
        <v>224</v>
      </c>
      <c r="FS5" s="25" t="s">
        <v>224</v>
      </c>
      <c r="FT5" s="25" t="s">
        <v>224</v>
      </c>
      <c r="FU5" s="25" t="s">
        <v>224</v>
      </c>
      <c r="FV5" s="25" t="s">
        <v>224</v>
      </c>
      <c r="FW5" s="25" t="s">
        <v>224</v>
      </c>
      <c r="FX5" s="25" t="s">
        <v>224</v>
      </c>
      <c r="FY5" s="25" t="s">
        <v>224</v>
      </c>
      <c r="FZ5" s="25" t="s">
        <v>224</v>
      </c>
      <c r="GA5" s="25" t="s">
        <v>224</v>
      </c>
      <c r="GB5" s="25" t="s">
        <v>224</v>
      </c>
      <c r="GC5" s="25" t="s">
        <v>224</v>
      </c>
      <c r="GD5" s="25" t="s">
        <v>224</v>
      </c>
      <c r="GE5" s="25" t="s">
        <v>224</v>
      </c>
      <c r="GF5" s="25" t="s">
        <v>224</v>
      </c>
      <c r="GG5" s="25" t="s">
        <v>224</v>
      </c>
      <c r="GH5" s="25" t="s">
        <v>224</v>
      </c>
      <c r="GI5" s="25" t="s">
        <v>224</v>
      </c>
      <c r="GJ5" s="25" t="s">
        <v>224</v>
      </c>
      <c r="GK5" s="25" t="s">
        <v>224</v>
      </c>
      <c r="GL5" s="25" t="s">
        <v>224</v>
      </c>
      <c r="GM5" s="25" t="s">
        <v>224</v>
      </c>
      <c r="GN5" s="25" t="s">
        <v>224</v>
      </c>
      <c r="GO5" s="25" t="s">
        <v>224</v>
      </c>
      <c r="GP5" s="14">
        <f t="shared" ref="GP5" si="0">COUNTIF(EJ5:GO5, "Yes")</f>
        <v>1</v>
      </c>
    </row>
    <row r="6" spans="2:198">
      <c r="B6" s="72">
        <v>45478</v>
      </c>
      <c r="C6" s="67" t="s">
        <v>226</v>
      </c>
      <c r="D6" s="29">
        <v>220077684</v>
      </c>
      <c r="E6" s="29" t="s">
        <v>217</v>
      </c>
      <c r="F6" s="76" t="s">
        <v>227</v>
      </c>
      <c r="G6" s="29" t="s">
        <v>228</v>
      </c>
      <c r="H6" s="31" t="s">
        <v>229</v>
      </c>
      <c r="I6" s="75" t="s">
        <v>62</v>
      </c>
      <c r="J6" s="69" t="s">
        <v>63</v>
      </c>
      <c r="K6" s="75" t="s">
        <v>230</v>
      </c>
      <c r="L6" s="14">
        <v>1</v>
      </c>
      <c r="M6" s="14">
        <v>1</v>
      </c>
      <c r="N6" s="14">
        <v>1</v>
      </c>
      <c r="O6" s="14">
        <v>2</v>
      </c>
      <c r="P6" s="14">
        <v>2</v>
      </c>
      <c r="Q6" s="14">
        <v>0</v>
      </c>
      <c r="R6" s="14">
        <v>0</v>
      </c>
      <c r="S6" s="14">
        <v>0</v>
      </c>
      <c r="T6" s="14">
        <v>1</v>
      </c>
      <c r="U6" s="14">
        <v>0</v>
      </c>
      <c r="V6" s="14">
        <v>1</v>
      </c>
      <c r="W6" s="14">
        <v>1</v>
      </c>
      <c r="X6" s="14">
        <v>1</v>
      </c>
      <c r="Y6" s="14">
        <v>1</v>
      </c>
      <c r="Z6" s="14"/>
      <c r="AA6" s="14"/>
      <c r="AB6" s="14">
        <v>3</v>
      </c>
      <c r="AC6" s="14">
        <v>3</v>
      </c>
      <c r="AD6" s="14">
        <v>3</v>
      </c>
      <c r="AE6" s="14">
        <v>1</v>
      </c>
      <c r="AF6" s="14">
        <v>0</v>
      </c>
      <c r="AG6" s="14">
        <v>0</v>
      </c>
      <c r="AH6" s="14">
        <v>2</v>
      </c>
      <c r="AI6" s="14">
        <v>2</v>
      </c>
      <c r="AJ6" s="14">
        <v>1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3</v>
      </c>
      <c r="AQ6" s="14">
        <v>0</v>
      </c>
      <c r="AR6" s="14">
        <v>1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2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1</v>
      </c>
      <c r="CO6" s="14">
        <v>0</v>
      </c>
      <c r="CP6" s="14">
        <v>0</v>
      </c>
      <c r="CQ6" s="14">
        <v>0</v>
      </c>
      <c r="CR6" s="14">
        <v>0</v>
      </c>
      <c r="CS6" s="14"/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29">
        <v>1</v>
      </c>
      <c r="DF6" s="14">
        <v>0</v>
      </c>
      <c r="DG6" s="14">
        <v>0</v>
      </c>
      <c r="DH6" s="14">
        <v>0</v>
      </c>
      <c r="DI6" s="14">
        <v>0</v>
      </c>
      <c r="DJ6" s="14">
        <v>0</v>
      </c>
      <c r="DK6" s="14">
        <v>0</v>
      </c>
      <c r="DL6" s="14">
        <v>0</v>
      </c>
      <c r="DM6" s="14">
        <v>0</v>
      </c>
      <c r="DN6" s="14">
        <v>0</v>
      </c>
      <c r="DO6" s="14">
        <v>0</v>
      </c>
      <c r="DP6" s="14">
        <v>0</v>
      </c>
      <c r="DQ6" s="14">
        <v>0</v>
      </c>
      <c r="DR6" s="14">
        <v>0</v>
      </c>
      <c r="DS6" s="14">
        <v>0</v>
      </c>
      <c r="DT6" s="14">
        <v>0</v>
      </c>
      <c r="DU6" s="14">
        <v>0</v>
      </c>
      <c r="DV6" s="57"/>
      <c r="DW6" s="15"/>
      <c r="DX6" s="15"/>
      <c r="DY6" s="15"/>
      <c r="DZ6" s="15"/>
      <c r="EA6" s="93"/>
      <c r="EB6" s="14">
        <v>0</v>
      </c>
      <c r="EC6" s="14">
        <v>0</v>
      </c>
      <c r="ED6" s="14">
        <v>0</v>
      </c>
      <c r="EE6" s="14">
        <v>0</v>
      </c>
      <c r="EF6" s="14">
        <v>0</v>
      </c>
      <c r="EG6" s="14">
        <v>0</v>
      </c>
      <c r="EH6" s="14">
        <v>0</v>
      </c>
      <c r="EI6" s="29" t="s">
        <v>223</v>
      </c>
      <c r="EJ6" s="25" t="s">
        <v>224</v>
      </c>
      <c r="EK6" s="25" t="s">
        <v>224</v>
      </c>
      <c r="EL6" s="25" t="s">
        <v>224</v>
      </c>
      <c r="EM6" s="25" t="s">
        <v>224</v>
      </c>
      <c r="EN6" s="25" t="s">
        <v>224</v>
      </c>
      <c r="EO6" s="25" t="s">
        <v>224</v>
      </c>
      <c r="EP6" s="25" t="s">
        <v>224</v>
      </c>
      <c r="EQ6" s="25" t="s">
        <v>224</v>
      </c>
      <c r="ER6" s="25" t="s">
        <v>224</v>
      </c>
      <c r="ES6" s="25" t="s">
        <v>224</v>
      </c>
      <c r="ET6" s="25" t="s">
        <v>224</v>
      </c>
      <c r="EU6" s="25" t="s">
        <v>224</v>
      </c>
      <c r="EV6" s="25" t="s">
        <v>224</v>
      </c>
      <c r="EW6" s="25" t="s">
        <v>224</v>
      </c>
      <c r="EX6" s="25" t="s">
        <v>224</v>
      </c>
      <c r="EY6" s="25" t="s">
        <v>224</v>
      </c>
      <c r="EZ6" s="25" t="s">
        <v>224</v>
      </c>
      <c r="FA6" s="25" t="s">
        <v>224</v>
      </c>
      <c r="FB6" s="25" t="s">
        <v>224</v>
      </c>
      <c r="FC6" s="25" t="s">
        <v>224</v>
      </c>
      <c r="FD6" s="25" t="s">
        <v>224</v>
      </c>
      <c r="FE6" s="25" t="s">
        <v>224</v>
      </c>
      <c r="FF6" s="25" t="s">
        <v>224</v>
      </c>
      <c r="FG6" s="25" t="s">
        <v>224</v>
      </c>
      <c r="FH6" s="25" t="s">
        <v>224</v>
      </c>
      <c r="FI6" s="25" t="s">
        <v>224</v>
      </c>
      <c r="FJ6" s="25" t="s">
        <v>224</v>
      </c>
      <c r="FK6" s="25" t="s">
        <v>224</v>
      </c>
      <c r="FL6" s="25" t="s">
        <v>224</v>
      </c>
      <c r="FM6" s="25" t="s">
        <v>224</v>
      </c>
      <c r="FN6" s="25" t="s">
        <v>224</v>
      </c>
      <c r="FO6" s="25" t="s">
        <v>224</v>
      </c>
      <c r="FP6" s="25" t="s">
        <v>224</v>
      </c>
      <c r="FQ6" s="25" t="s">
        <v>224</v>
      </c>
      <c r="FR6" s="25" t="s">
        <v>224</v>
      </c>
      <c r="FS6" s="25" t="s">
        <v>224</v>
      </c>
      <c r="FT6" s="25" t="s">
        <v>224</v>
      </c>
      <c r="FU6" s="25" t="s">
        <v>224</v>
      </c>
      <c r="FV6" s="25" t="s">
        <v>224</v>
      </c>
      <c r="FW6" s="25" t="s">
        <v>224</v>
      </c>
      <c r="FX6" s="25" t="s">
        <v>225</v>
      </c>
      <c r="FY6" s="25" t="s">
        <v>224</v>
      </c>
      <c r="FZ6" s="25" t="s">
        <v>224</v>
      </c>
      <c r="GA6" s="25" t="s">
        <v>224</v>
      </c>
      <c r="GB6" s="25" t="s">
        <v>224</v>
      </c>
      <c r="GC6" s="25" t="s">
        <v>224</v>
      </c>
      <c r="GD6" s="25" t="s">
        <v>224</v>
      </c>
      <c r="GE6" s="25" t="s">
        <v>224</v>
      </c>
      <c r="GF6" s="25" t="s">
        <v>224</v>
      </c>
      <c r="GG6" s="25" t="s">
        <v>224</v>
      </c>
      <c r="GH6" s="25" t="s">
        <v>224</v>
      </c>
      <c r="GI6" s="25" t="s">
        <v>224</v>
      </c>
      <c r="GJ6" s="25" t="s">
        <v>224</v>
      </c>
      <c r="GK6" s="25" t="s">
        <v>224</v>
      </c>
      <c r="GL6" s="25" t="s">
        <v>224</v>
      </c>
      <c r="GM6" s="25" t="s">
        <v>225</v>
      </c>
      <c r="GN6" s="25" t="s">
        <v>224</v>
      </c>
      <c r="GO6" s="25" t="s">
        <v>224</v>
      </c>
      <c r="GP6" s="14">
        <f t="shared" ref="GP6:GP8" si="1">COUNTIF(EJ6:GO6, "Yes")</f>
        <v>2</v>
      </c>
    </row>
    <row r="7" spans="2:198">
      <c r="B7" s="72">
        <v>45448</v>
      </c>
      <c r="C7" s="67" t="s">
        <v>231</v>
      </c>
      <c r="D7" s="29">
        <v>220097115</v>
      </c>
      <c r="E7" s="29" t="s">
        <v>217</v>
      </c>
      <c r="F7" s="76" t="s">
        <v>232</v>
      </c>
      <c r="G7" s="29" t="s">
        <v>218</v>
      </c>
      <c r="H7" s="29" t="s">
        <v>233</v>
      </c>
      <c r="I7" s="74" t="s">
        <v>234</v>
      </c>
      <c r="J7" s="74" t="s">
        <v>220</v>
      </c>
      <c r="K7" s="74" t="s">
        <v>63</v>
      </c>
      <c r="L7" s="14">
        <v>1</v>
      </c>
      <c r="M7" s="14">
        <v>1</v>
      </c>
      <c r="N7" s="14">
        <v>1</v>
      </c>
      <c r="O7" s="14">
        <v>1</v>
      </c>
      <c r="P7" s="14">
        <v>2</v>
      </c>
      <c r="Q7" s="14">
        <v>0</v>
      </c>
      <c r="R7" s="14">
        <v>0</v>
      </c>
      <c r="S7" s="14"/>
      <c r="T7" s="14">
        <v>1</v>
      </c>
      <c r="U7" s="14">
        <v>1</v>
      </c>
      <c r="V7" s="14">
        <v>1</v>
      </c>
      <c r="W7" s="14">
        <v>2</v>
      </c>
      <c r="X7" s="14">
        <v>1</v>
      </c>
      <c r="Y7" s="14">
        <v>2</v>
      </c>
      <c r="Z7" s="14"/>
      <c r="AA7" s="14"/>
      <c r="AB7" s="14">
        <v>2</v>
      </c>
      <c r="AC7" s="14">
        <v>2</v>
      </c>
      <c r="AD7" s="14">
        <v>1</v>
      </c>
      <c r="AE7" s="14">
        <v>2</v>
      </c>
      <c r="AF7" s="14">
        <v>2</v>
      </c>
      <c r="AG7" s="14">
        <v>1</v>
      </c>
      <c r="AH7" s="14">
        <v>2</v>
      </c>
      <c r="AI7" s="14">
        <v>1</v>
      </c>
      <c r="AJ7" s="14">
        <v>0</v>
      </c>
      <c r="AK7" s="14">
        <v>1</v>
      </c>
      <c r="AL7" s="14">
        <v>1</v>
      </c>
      <c r="AM7" s="14">
        <v>0</v>
      </c>
      <c r="AN7" s="14">
        <v>2</v>
      </c>
      <c r="AO7" s="14">
        <v>1</v>
      </c>
      <c r="AP7" s="14">
        <v>2</v>
      </c>
      <c r="AQ7" s="14">
        <v>1</v>
      </c>
      <c r="AR7" s="14">
        <v>2</v>
      </c>
      <c r="AS7" s="14">
        <v>0</v>
      </c>
      <c r="AT7" s="14">
        <v>0</v>
      </c>
      <c r="AU7" s="14">
        <v>0</v>
      </c>
      <c r="AV7" s="14">
        <v>2</v>
      </c>
      <c r="AW7" s="14">
        <v>0</v>
      </c>
      <c r="AX7" s="14">
        <v>0</v>
      </c>
      <c r="AY7" s="14">
        <v>0</v>
      </c>
      <c r="AZ7" s="14">
        <v>1</v>
      </c>
      <c r="BA7" s="14">
        <v>0</v>
      </c>
      <c r="BB7" s="14">
        <v>1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2</v>
      </c>
      <c r="BP7" s="14">
        <v>0</v>
      </c>
      <c r="BQ7" s="14">
        <v>0</v>
      </c>
      <c r="BR7" s="14">
        <v>1</v>
      </c>
      <c r="BS7" s="14">
        <v>3</v>
      </c>
      <c r="BT7" s="14">
        <v>1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2</v>
      </c>
      <c r="CL7" s="14">
        <v>1</v>
      </c>
      <c r="CM7" s="14">
        <v>0</v>
      </c>
      <c r="CN7" s="14">
        <v>2</v>
      </c>
      <c r="CO7" s="14">
        <v>1</v>
      </c>
      <c r="CP7" s="14">
        <v>1</v>
      </c>
      <c r="CQ7" s="14">
        <v>0</v>
      </c>
      <c r="CR7" s="14">
        <v>0</v>
      </c>
      <c r="CS7" s="14"/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1</v>
      </c>
      <c r="DA7" s="14">
        <v>0</v>
      </c>
      <c r="DB7" s="14">
        <v>0</v>
      </c>
      <c r="DC7" s="29">
        <v>1</v>
      </c>
      <c r="DD7" s="29">
        <v>1</v>
      </c>
      <c r="DE7" s="29">
        <v>1</v>
      </c>
      <c r="DF7" s="29">
        <v>1</v>
      </c>
      <c r="DG7" s="29">
        <v>1</v>
      </c>
      <c r="DH7" s="29">
        <v>0</v>
      </c>
      <c r="DI7" s="29">
        <v>0</v>
      </c>
      <c r="DJ7" s="29">
        <v>0</v>
      </c>
      <c r="DK7" s="29">
        <v>0</v>
      </c>
      <c r="DL7" s="29">
        <v>0</v>
      </c>
      <c r="DM7" s="29">
        <v>0</v>
      </c>
      <c r="DN7" s="29">
        <v>0</v>
      </c>
      <c r="DO7" s="29">
        <v>0</v>
      </c>
      <c r="DP7" s="29">
        <v>2</v>
      </c>
      <c r="DQ7" s="29">
        <v>0</v>
      </c>
      <c r="DR7" s="29">
        <v>0</v>
      </c>
      <c r="DS7" s="29">
        <v>1</v>
      </c>
      <c r="DT7" s="29">
        <v>2</v>
      </c>
      <c r="DU7" s="14">
        <v>1</v>
      </c>
      <c r="DV7" s="57"/>
      <c r="DW7" s="15"/>
      <c r="DX7" s="15"/>
      <c r="DY7" s="15"/>
      <c r="DZ7" s="15"/>
      <c r="EA7" s="93" t="s">
        <v>235</v>
      </c>
      <c r="EB7" s="14">
        <v>0</v>
      </c>
      <c r="EC7" s="14">
        <v>0</v>
      </c>
      <c r="ED7" s="14">
        <v>0</v>
      </c>
      <c r="EE7" s="14">
        <v>0</v>
      </c>
      <c r="EF7" s="28">
        <v>3</v>
      </c>
      <c r="EG7" s="28">
        <v>3</v>
      </c>
      <c r="EH7" s="28">
        <v>3</v>
      </c>
      <c r="EI7" s="29" t="s">
        <v>223</v>
      </c>
      <c r="EJ7" s="25" t="s">
        <v>224</v>
      </c>
      <c r="EK7" s="25" t="s">
        <v>224</v>
      </c>
      <c r="EL7" s="25" t="s">
        <v>224</v>
      </c>
      <c r="EM7" s="25" t="s">
        <v>224</v>
      </c>
      <c r="EN7" s="25" t="s">
        <v>224</v>
      </c>
      <c r="EO7" s="55" t="s">
        <v>224</v>
      </c>
      <c r="EP7" s="55" t="s">
        <v>224</v>
      </c>
      <c r="EQ7" s="55" t="s">
        <v>224</v>
      </c>
      <c r="ER7" s="55" t="s">
        <v>224</v>
      </c>
      <c r="ES7" s="55" t="s">
        <v>224</v>
      </c>
      <c r="ET7" s="55" t="s">
        <v>224</v>
      </c>
      <c r="EU7" s="25" t="s">
        <v>224</v>
      </c>
      <c r="EV7" s="25" t="s">
        <v>224</v>
      </c>
      <c r="EW7" s="25" t="s">
        <v>224</v>
      </c>
      <c r="EX7" s="25" t="s">
        <v>224</v>
      </c>
      <c r="EY7" s="25" t="s">
        <v>224</v>
      </c>
      <c r="EZ7" s="25" t="s">
        <v>224</v>
      </c>
      <c r="FA7" s="25" t="s">
        <v>224</v>
      </c>
      <c r="FB7" s="25" t="s">
        <v>224</v>
      </c>
      <c r="FC7" s="25" t="s">
        <v>224</v>
      </c>
      <c r="FD7" s="25" t="s">
        <v>224</v>
      </c>
      <c r="FE7" s="25" t="s">
        <v>224</v>
      </c>
      <c r="FF7" s="25" t="s">
        <v>224</v>
      </c>
      <c r="FG7" s="25" t="s">
        <v>224</v>
      </c>
      <c r="FH7" s="25" t="s">
        <v>224</v>
      </c>
      <c r="FI7" s="25" t="s">
        <v>224</v>
      </c>
      <c r="FJ7" s="25" t="s">
        <v>224</v>
      </c>
      <c r="FK7" s="25" t="s">
        <v>224</v>
      </c>
      <c r="FL7" s="25" t="s">
        <v>224</v>
      </c>
      <c r="FM7" s="25" t="s">
        <v>224</v>
      </c>
      <c r="FN7" s="25" t="s">
        <v>224</v>
      </c>
      <c r="FO7" s="25" t="s">
        <v>224</v>
      </c>
      <c r="FP7" s="25" t="s">
        <v>224</v>
      </c>
      <c r="FQ7" s="25" t="s">
        <v>224</v>
      </c>
      <c r="FR7" s="25" t="s">
        <v>224</v>
      </c>
      <c r="FS7" s="25" t="s">
        <v>224</v>
      </c>
      <c r="FT7" s="25" t="s">
        <v>224</v>
      </c>
      <c r="FU7" s="25" t="s">
        <v>224</v>
      </c>
      <c r="FV7" s="25" t="s">
        <v>224</v>
      </c>
      <c r="FW7" s="25" t="s">
        <v>224</v>
      </c>
      <c r="FX7" s="25" t="s">
        <v>225</v>
      </c>
      <c r="FY7" s="25" t="s">
        <v>224</v>
      </c>
      <c r="FZ7" s="25" t="s">
        <v>224</v>
      </c>
      <c r="GA7" s="25" t="s">
        <v>224</v>
      </c>
      <c r="GB7" s="25" t="s">
        <v>224</v>
      </c>
      <c r="GC7" s="25" t="s">
        <v>224</v>
      </c>
      <c r="GD7" s="25" t="s">
        <v>224</v>
      </c>
      <c r="GE7" s="25" t="s">
        <v>224</v>
      </c>
      <c r="GF7" s="25" t="s">
        <v>224</v>
      </c>
      <c r="GG7" s="25" t="s">
        <v>224</v>
      </c>
      <c r="GH7" s="25" t="s">
        <v>224</v>
      </c>
      <c r="GI7" s="25" t="s">
        <v>224</v>
      </c>
      <c r="GJ7" s="25" t="s">
        <v>224</v>
      </c>
      <c r="GK7" s="25" t="s">
        <v>224</v>
      </c>
      <c r="GL7" s="25" t="s">
        <v>224</v>
      </c>
      <c r="GM7" s="25" t="s">
        <v>225</v>
      </c>
      <c r="GN7" s="25" t="s">
        <v>224</v>
      </c>
      <c r="GO7" s="25" t="s">
        <v>225</v>
      </c>
      <c r="GP7" s="14">
        <f t="shared" si="1"/>
        <v>3</v>
      </c>
    </row>
    <row r="8" spans="2:198">
      <c r="B8" s="24">
        <v>45457</v>
      </c>
      <c r="C8" s="67" t="s">
        <v>236</v>
      </c>
      <c r="D8" s="29">
        <v>220124961</v>
      </c>
      <c r="E8" s="29" t="s">
        <v>217</v>
      </c>
      <c r="F8" s="76" t="s">
        <v>237</v>
      </c>
      <c r="G8" s="29" t="s">
        <v>238</v>
      </c>
      <c r="H8" s="29" t="s">
        <v>233</v>
      </c>
      <c r="I8" s="74" t="s">
        <v>63</v>
      </c>
      <c r="J8" s="74" t="s">
        <v>239</v>
      </c>
      <c r="K8" s="74" t="s">
        <v>240</v>
      </c>
      <c r="L8" s="14">
        <v>0</v>
      </c>
      <c r="M8" s="14">
        <v>0</v>
      </c>
      <c r="N8" s="14">
        <v>0</v>
      </c>
      <c r="O8" s="14">
        <v>1</v>
      </c>
      <c r="P8" s="14">
        <v>1</v>
      </c>
      <c r="Q8" s="14">
        <v>0</v>
      </c>
      <c r="R8" s="14">
        <v>0</v>
      </c>
      <c r="S8" s="14"/>
      <c r="T8" s="14">
        <v>0</v>
      </c>
      <c r="U8" s="14">
        <v>1</v>
      </c>
      <c r="V8" s="14">
        <v>1</v>
      </c>
      <c r="W8" s="14">
        <v>2</v>
      </c>
      <c r="X8" s="14">
        <v>2</v>
      </c>
      <c r="Y8" s="14">
        <v>1</v>
      </c>
      <c r="Z8" s="14"/>
      <c r="AA8" s="14"/>
      <c r="AB8" s="14">
        <v>1</v>
      </c>
      <c r="AC8" s="14">
        <v>3</v>
      </c>
      <c r="AD8" s="14">
        <v>1</v>
      </c>
      <c r="AE8" s="14">
        <v>3</v>
      </c>
      <c r="AF8" s="14">
        <v>1</v>
      </c>
      <c r="AG8" s="14">
        <v>1</v>
      </c>
      <c r="AH8" s="14">
        <v>3</v>
      </c>
      <c r="AI8" s="14">
        <v>1</v>
      </c>
      <c r="AJ8" s="14">
        <v>1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3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1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2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1</v>
      </c>
      <c r="CI8" s="14">
        <v>0</v>
      </c>
      <c r="CJ8" s="14">
        <v>0</v>
      </c>
      <c r="CK8" s="14">
        <v>1</v>
      </c>
      <c r="CL8" s="14">
        <v>1</v>
      </c>
      <c r="CM8" s="14">
        <v>0</v>
      </c>
      <c r="CN8" s="14">
        <v>1</v>
      </c>
      <c r="CO8" s="14">
        <v>0</v>
      </c>
      <c r="CP8" s="14">
        <v>0</v>
      </c>
      <c r="CQ8" s="14">
        <v>0</v>
      </c>
      <c r="CR8" s="14">
        <v>0</v>
      </c>
      <c r="CS8" s="14"/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1</v>
      </c>
      <c r="DF8" s="14">
        <v>0</v>
      </c>
      <c r="DG8" s="14">
        <v>0</v>
      </c>
      <c r="DH8" s="14">
        <v>0</v>
      </c>
      <c r="DI8" s="14">
        <v>0</v>
      </c>
      <c r="DJ8" s="14">
        <v>0</v>
      </c>
      <c r="DK8" s="14">
        <v>0</v>
      </c>
      <c r="DL8" s="14">
        <v>0</v>
      </c>
      <c r="DM8" s="14">
        <v>0</v>
      </c>
      <c r="DN8" s="14">
        <v>0</v>
      </c>
      <c r="DO8" s="14">
        <v>0</v>
      </c>
      <c r="DP8" s="14">
        <v>0</v>
      </c>
      <c r="DQ8" s="14">
        <v>0</v>
      </c>
      <c r="DR8" s="14">
        <v>0</v>
      </c>
      <c r="DS8" s="14">
        <v>0</v>
      </c>
      <c r="DT8" s="14">
        <v>0</v>
      </c>
      <c r="DU8" s="14">
        <v>0</v>
      </c>
      <c r="DV8" s="57"/>
      <c r="DW8" s="15"/>
      <c r="DX8" s="15"/>
      <c r="DY8" s="15"/>
      <c r="DZ8" s="15"/>
      <c r="EA8" s="93"/>
      <c r="EB8" s="14">
        <v>0</v>
      </c>
      <c r="EC8" s="14">
        <v>0</v>
      </c>
      <c r="ED8" s="14">
        <v>0</v>
      </c>
      <c r="EE8" s="14">
        <v>0</v>
      </c>
      <c r="EF8" s="28">
        <v>0</v>
      </c>
      <c r="EG8" s="28">
        <v>0</v>
      </c>
      <c r="EH8" s="28">
        <v>0</v>
      </c>
      <c r="EI8" s="29" t="s">
        <v>223</v>
      </c>
      <c r="EJ8" s="25" t="s">
        <v>224</v>
      </c>
      <c r="EK8" s="25" t="s">
        <v>224</v>
      </c>
      <c r="EL8" s="25" t="s">
        <v>224</v>
      </c>
      <c r="EM8" s="25" t="s">
        <v>224</v>
      </c>
      <c r="EN8" s="25" t="s">
        <v>224</v>
      </c>
      <c r="EO8" s="55" t="s">
        <v>224</v>
      </c>
      <c r="EP8" s="55" t="s">
        <v>224</v>
      </c>
      <c r="EQ8" s="55" t="s">
        <v>224</v>
      </c>
      <c r="ER8" s="55" t="s">
        <v>224</v>
      </c>
      <c r="ES8" s="55" t="s">
        <v>224</v>
      </c>
      <c r="ET8" s="55" t="s">
        <v>224</v>
      </c>
      <c r="EU8" s="25" t="s">
        <v>224</v>
      </c>
      <c r="EV8" s="25" t="s">
        <v>224</v>
      </c>
      <c r="EW8" s="25" t="s">
        <v>224</v>
      </c>
      <c r="EX8" s="25" t="s">
        <v>224</v>
      </c>
      <c r="EY8" s="25" t="s">
        <v>224</v>
      </c>
      <c r="EZ8" s="25" t="s">
        <v>224</v>
      </c>
      <c r="FA8" s="25" t="s">
        <v>224</v>
      </c>
      <c r="FB8" s="25" t="s">
        <v>224</v>
      </c>
      <c r="FC8" s="25" t="s">
        <v>224</v>
      </c>
      <c r="FD8" s="25" t="s">
        <v>224</v>
      </c>
      <c r="FE8" s="25" t="s">
        <v>224</v>
      </c>
      <c r="FF8" s="25" t="s">
        <v>224</v>
      </c>
      <c r="FG8" s="25" t="s">
        <v>224</v>
      </c>
      <c r="FH8" s="25" t="s">
        <v>224</v>
      </c>
      <c r="FI8" s="25" t="s">
        <v>224</v>
      </c>
      <c r="FJ8" s="25" t="s">
        <v>224</v>
      </c>
      <c r="FK8" s="25" t="s">
        <v>224</v>
      </c>
      <c r="FL8" s="25" t="s">
        <v>224</v>
      </c>
      <c r="FM8" s="25" t="s">
        <v>224</v>
      </c>
      <c r="FN8" s="25" t="s">
        <v>224</v>
      </c>
      <c r="FO8" s="25" t="s">
        <v>224</v>
      </c>
      <c r="FP8" s="25" t="s">
        <v>224</v>
      </c>
      <c r="FQ8" s="25" t="s">
        <v>224</v>
      </c>
      <c r="FR8" s="25" t="s">
        <v>224</v>
      </c>
      <c r="FS8" s="25" t="s">
        <v>224</v>
      </c>
      <c r="FT8" s="25" t="s">
        <v>224</v>
      </c>
      <c r="FU8" s="25" t="s">
        <v>224</v>
      </c>
      <c r="FV8" s="25" t="s">
        <v>224</v>
      </c>
      <c r="FW8" s="25" t="s">
        <v>224</v>
      </c>
      <c r="FX8" s="25" t="s">
        <v>225</v>
      </c>
      <c r="FY8" s="25" t="s">
        <v>224</v>
      </c>
      <c r="FZ8" s="25" t="s">
        <v>224</v>
      </c>
      <c r="GA8" s="25" t="s">
        <v>224</v>
      </c>
      <c r="GB8" s="25" t="s">
        <v>224</v>
      </c>
      <c r="GC8" s="25" t="s">
        <v>224</v>
      </c>
      <c r="GD8" s="25" t="s">
        <v>224</v>
      </c>
      <c r="GE8" s="25" t="s">
        <v>224</v>
      </c>
      <c r="GF8" s="25" t="s">
        <v>224</v>
      </c>
      <c r="GG8" s="25" t="s">
        <v>224</v>
      </c>
      <c r="GH8" s="25" t="s">
        <v>224</v>
      </c>
      <c r="GI8" s="25" t="s">
        <v>224</v>
      </c>
      <c r="GJ8" s="25" t="s">
        <v>224</v>
      </c>
      <c r="GK8" s="25" t="s">
        <v>224</v>
      </c>
      <c r="GL8" s="25" t="s">
        <v>224</v>
      </c>
      <c r="GM8" s="25" t="s">
        <v>225</v>
      </c>
      <c r="GN8" s="25" t="s">
        <v>225</v>
      </c>
      <c r="GO8" s="25" t="s">
        <v>225</v>
      </c>
      <c r="GP8" s="14">
        <f t="shared" si="1"/>
        <v>4</v>
      </c>
    </row>
    <row r="9" spans="2:198">
      <c r="B9" s="58"/>
      <c r="C9" s="67"/>
      <c r="D9" s="31"/>
      <c r="E9" s="31"/>
      <c r="F9" s="76"/>
      <c r="G9" s="25"/>
      <c r="H9" s="31"/>
      <c r="I9" s="69"/>
      <c r="J9" s="69"/>
      <c r="K9" s="69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29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57"/>
      <c r="DW9" s="15"/>
      <c r="DX9" s="15"/>
      <c r="DY9" s="15"/>
      <c r="DZ9" s="15"/>
      <c r="EA9" s="93"/>
      <c r="EB9" s="14"/>
      <c r="EC9" s="14"/>
      <c r="ED9" s="14"/>
      <c r="EE9" s="14"/>
      <c r="EF9" s="28"/>
      <c r="EG9" s="28"/>
      <c r="EH9" s="28"/>
      <c r="EI9" s="29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14"/>
    </row>
    <row r="10" spans="2:198">
      <c r="B10" s="72"/>
      <c r="C10" s="67"/>
      <c r="D10" s="29"/>
      <c r="E10" s="29"/>
      <c r="F10" s="74"/>
      <c r="G10" s="29"/>
      <c r="H10" s="31"/>
      <c r="I10" s="69"/>
      <c r="J10" s="69"/>
      <c r="K10" s="69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29"/>
      <c r="DF10" s="14"/>
      <c r="DG10" s="14"/>
      <c r="DH10" s="14"/>
      <c r="DI10" s="14"/>
      <c r="DJ10" s="29"/>
      <c r="DK10" s="29"/>
      <c r="DL10" s="14"/>
      <c r="DM10" s="14"/>
      <c r="DN10" s="14"/>
      <c r="DO10" s="14"/>
      <c r="DP10" s="14"/>
      <c r="DQ10" s="14"/>
      <c r="DR10" s="14"/>
      <c r="DS10" s="14"/>
      <c r="DT10" s="29"/>
      <c r="DU10" s="14"/>
      <c r="DV10" s="57"/>
      <c r="DW10" s="15"/>
      <c r="DX10" s="15"/>
      <c r="DY10" s="15"/>
      <c r="DZ10" s="15"/>
      <c r="EA10" s="93"/>
      <c r="EB10" s="14"/>
      <c r="EC10" s="14"/>
      <c r="ED10" s="14"/>
      <c r="EE10" s="14"/>
      <c r="EF10" s="28"/>
      <c r="EG10" s="28"/>
      <c r="EH10" s="28"/>
      <c r="EI10" s="29"/>
      <c r="EJ10" s="25"/>
      <c r="EK10" s="25"/>
      <c r="EL10" s="25"/>
      <c r="EM10" s="25"/>
      <c r="EN10" s="25"/>
      <c r="EO10" s="55"/>
      <c r="EP10" s="55"/>
      <c r="EQ10" s="55"/>
      <c r="ER10" s="55"/>
      <c r="ES10" s="55"/>
      <c r="ET10" s="5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14"/>
    </row>
    <row r="11" spans="2:198">
      <c r="B11" s="73"/>
      <c r="C11" s="67"/>
      <c r="D11" s="29"/>
      <c r="E11" s="29"/>
      <c r="F11" s="74"/>
      <c r="G11" s="29"/>
      <c r="H11" s="29"/>
      <c r="I11" s="74"/>
      <c r="J11" s="74"/>
      <c r="K11" s="7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57"/>
      <c r="DW11" s="15"/>
      <c r="DX11" s="15"/>
      <c r="DY11" s="15"/>
      <c r="DZ11" s="15"/>
      <c r="EA11" s="93"/>
      <c r="EB11" s="14"/>
      <c r="EC11" s="14"/>
      <c r="ED11" s="14"/>
      <c r="EE11" s="14"/>
      <c r="EF11" s="28"/>
      <c r="EG11" s="28"/>
      <c r="EH11" s="28"/>
      <c r="EI11" s="29"/>
      <c r="EJ11" s="25"/>
      <c r="EK11" s="25"/>
      <c r="EL11" s="25"/>
      <c r="EM11" s="25"/>
      <c r="EN11" s="25"/>
      <c r="EO11" s="55"/>
      <c r="EP11" s="55"/>
      <c r="EQ11" s="55"/>
      <c r="ER11" s="55"/>
      <c r="ES11" s="55"/>
      <c r="ET11" s="5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14"/>
    </row>
    <row r="12" spans="2:198">
      <c r="B12" s="58"/>
      <c r="C12" s="67"/>
      <c r="D12" s="31"/>
      <c r="E12" s="29"/>
      <c r="F12" s="74"/>
      <c r="G12" s="40"/>
      <c r="H12" s="31"/>
      <c r="I12" s="69"/>
      <c r="J12" s="69"/>
      <c r="K12" s="69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29"/>
      <c r="DD12" s="29"/>
      <c r="DE12" s="29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29"/>
      <c r="DU12" s="29"/>
      <c r="DV12" s="57"/>
      <c r="DW12" s="15"/>
      <c r="DX12" s="15"/>
      <c r="DY12" s="15"/>
      <c r="DZ12" s="15"/>
      <c r="EA12" s="93"/>
      <c r="EB12" s="25"/>
      <c r="EC12" s="25"/>
      <c r="ED12" s="25"/>
      <c r="EE12" s="25"/>
      <c r="EF12" s="29"/>
      <c r="EG12" s="29"/>
      <c r="EH12" s="29"/>
      <c r="EI12" s="29"/>
      <c r="EJ12" s="25"/>
      <c r="EK12" s="25"/>
      <c r="EL12" s="25"/>
      <c r="EM12" s="25"/>
      <c r="EN12" s="25"/>
      <c r="EO12" s="55"/>
      <c r="EP12" s="55"/>
      <c r="EQ12" s="55"/>
      <c r="ER12" s="55"/>
      <c r="ES12" s="55"/>
      <c r="ET12" s="5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14"/>
    </row>
    <row r="13" spans="2:198">
      <c r="B13"/>
      <c r="C13" s="67"/>
      <c r="D13" s="31"/>
      <c r="E13" s="29"/>
      <c r="F13" s="74"/>
      <c r="G13" s="40"/>
      <c r="H13" s="31"/>
      <c r="I13" s="69"/>
      <c r="J13" s="69"/>
      <c r="K13" s="69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14"/>
      <c r="DV13" s="57"/>
      <c r="DW13" s="15"/>
      <c r="DX13" s="15"/>
      <c r="DY13" s="15"/>
      <c r="DZ13" s="15"/>
      <c r="EA13" s="93"/>
      <c r="EB13" s="25"/>
      <c r="EC13" s="25"/>
      <c r="ED13" s="25"/>
      <c r="EE13" s="25"/>
      <c r="EF13" s="29"/>
      <c r="EG13" s="29"/>
      <c r="EH13" s="29"/>
      <c r="EI13" s="29"/>
      <c r="EJ13" s="25"/>
      <c r="EK13" s="25"/>
      <c r="EL13" s="25"/>
      <c r="EM13" s="25"/>
      <c r="EN13" s="25"/>
      <c r="EO13" s="55"/>
      <c r="EP13" s="55"/>
      <c r="EQ13" s="55"/>
      <c r="ER13" s="55"/>
      <c r="ES13" s="55"/>
      <c r="ET13" s="5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14"/>
    </row>
    <row r="14" spans="2:198" ht="15">
      <c r="B14" s="72"/>
      <c r="C14" s="67"/>
      <c r="D14" s="29"/>
      <c r="E14" s="29"/>
      <c r="F14" s="74"/>
      <c r="G14" s="29"/>
      <c r="H14" s="29"/>
      <c r="I14" s="74"/>
      <c r="J14" s="74"/>
      <c r="K14" s="7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27"/>
      <c r="Z14" s="27"/>
      <c r="AA14" s="27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29"/>
      <c r="DU14" s="29"/>
      <c r="DV14" s="57"/>
      <c r="DW14" s="15"/>
      <c r="DX14" s="15"/>
      <c r="DY14" s="15"/>
      <c r="DZ14" s="15"/>
      <c r="EA14" s="93"/>
      <c r="EB14" s="26"/>
      <c r="EC14" s="26"/>
      <c r="ED14" s="26"/>
      <c r="EE14" s="26"/>
      <c r="EF14" s="31"/>
      <c r="EG14" s="31"/>
      <c r="EH14" s="31"/>
      <c r="EI14" s="31"/>
      <c r="EJ14" s="25"/>
      <c r="EK14" s="25"/>
      <c r="EL14" s="25"/>
      <c r="EM14" s="25"/>
      <c r="EN14" s="25"/>
      <c r="EO14" s="55"/>
      <c r="EP14" s="55"/>
      <c r="EQ14" s="55"/>
      <c r="ER14" s="55"/>
      <c r="ES14" s="55"/>
      <c r="ET14" s="5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14"/>
    </row>
    <row r="15" spans="2:198">
      <c r="B15" s="72"/>
      <c r="C15" s="67"/>
      <c r="D15" s="31"/>
      <c r="E15" s="31"/>
      <c r="F15" s="69"/>
      <c r="G15" s="40"/>
      <c r="H15" s="29"/>
      <c r="I15" s="74"/>
      <c r="J15" s="74"/>
      <c r="K15" s="7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14"/>
      <c r="DV15" s="57"/>
      <c r="DW15" s="15"/>
      <c r="DX15" s="15"/>
      <c r="DY15" s="15"/>
      <c r="DZ15" s="15"/>
      <c r="EA15" s="93"/>
      <c r="EB15" s="14"/>
      <c r="EC15" s="14"/>
      <c r="ED15" s="14"/>
      <c r="EE15" s="14"/>
      <c r="EF15" s="28"/>
      <c r="EG15" s="28"/>
      <c r="EH15" s="28"/>
      <c r="EI15" s="29"/>
      <c r="EJ15" s="25"/>
      <c r="EK15" s="25"/>
      <c r="EL15" s="25"/>
      <c r="EM15" s="25"/>
      <c r="EN15" s="25"/>
      <c r="EO15" s="55"/>
      <c r="EP15" s="55"/>
      <c r="EQ15" s="55"/>
      <c r="ER15" s="55"/>
      <c r="ES15" s="55"/>
      <c r="ET15" s="5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14"/>
    </row>
    <row r="16" spans="2:198">
      <c r="B16" s="72"/>
      <c r="C16" s="67"/>
      <c r="D16" s="29"/>
      <c r="E16" s="29"/>
      <c r="F16" s="74"/>
      <c r="G16" s="40"/>
      <c r="H16" s="31"/>
      <c r="I16" s="69"/>
      <c r="J16" s="69"/>
      <c r="K16" s="69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29"/>
      <c r="DD16" s="29"/>
      <c r="DE16" s="29"/>
      <c r="DF16" s="14"/>
      <c r="DG16" s="14"/>
      <c r="DH16" s="14"/>
      <c r="DI16" s="29"/>
      <c r="DJ16" s="29"/>
      <c r="DK16" s="29"/>
      <c r="DL16" s="14"/>
      <c r="DM16" s="14"/>
      <c r="DN16" s="14"/>
      <c r="DO16" s="14"/>
      <c r="DP16" s="14"/>
      <c r="DQ16" s="14"/>
      <c r="DR16" s="14"/>
      <c r="DS16" s="14"/>
      <c r="DT16" s="29"/>
      <c r="DU16" s="14"/>
      <c r="DV16" s="57"/>
      <c r="DW16" s="15"/>
      <c r="DX16" s="15"/>
      <c r="DY16" s="15"/>
      <c r="DZ16" s="15"/>
      <c r="EA16" s="93"/>
      <c r="EB16" s="14"/>
      <c r="EC16" s="14"/>
      <c r="ED16" s="14"/>
      <c r="EE16" s="14"/>
      <c r="EF16" s="28"/>
      <c r="EG16" s="28"/>
      <c r="EH16" s="28"/>
      <c r="EI16" s="29"/>
      <c r="EJ16" s="25"/>
      <c r="EK16" s="25"/>
      <c r="EL16" s="25"/>
      <c r="EM16" s="25"/>
      <c r="EN16" s="25"/>
      <c r="EO16" s="55"/>
      <c r="EP16" s="55"/>
      <c r="EQ16" s="55"/>
      <c r="ER16" s="55"/>
      <c r="ES16" s="55"/>
      <c r="ET16" s="5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14"/>
    </row>
    <row r="17" spans="2:198">
      <c r="B17" s="20" t="s">
        <v>241</v>
      </c>
      <c r="C17" s="68"/>
      <c r="D17" s="21"/>
      <c r="E17" s="21"/>
      <c r="F17" s="20"/>
      <c r="G17" s="21"/>
      <c r="H17" s="21"/>
      <c r="I17" s="21"/>
      <c r="J17" s="21"/>
      <c r="K17" s="21"/>
      <c r="L17" s="21">
        <f>COUNT(L6:L16)</f>
        <v>3</v>
      </c>
      <c r="M17" s="21">
        <f>COUNT(M6:M16)</f>
        <v>3</v>
      </c>
      <c r="N17" s="21">
        <f>COUNT(N6:N16)</f>
        <v>3</v>
      </c>
      <c r="O17" s="21">
        <f>COUNT(O6:O16)</f>
        <v>3</v>
      </c>
      <c r="P17" s="21">
        <f>COUNT(P6:P16)</f>
        <v>3</v>
      </c>
      <c r="Q17" s="21">
        <f>COUNT(Q6:Q16)</f>
        <v>3</v>
      </c>
      <c r="R17" s="21">
        <f>COUNT(R6:R16)</f>
        <v>3</v>
      </c>
      <c r="S17" s="21">
        <f>COUNT(S6:S16)</f>
        <v>1</v>
      </c>
      <c r="T17" s="21">
        <f>COUNT(T6:T16)</f>
        <v>3</v>
      </c>
      <c r="U17" s="21">
        <f>COUNT(U6:U16)</f>
        <v>3</v>
      </c>
      <c r="V17" s="21">
        <f>COUNT(V6:V16)</f>
        <v>3</v>
      </c>
      <c r="W17" s="21">
        <f>COUNT(W6:W16)</f>
        <v>3</v>
      </c>
      <c r="X17" s="21">
        <f>COUNT(X6:X16)</f>
        <v>3</v>
      </c>
      <c r="Y17" s="21">
        <f>COUNT(Y6:Y16)</f>
        <v>3</v>
      </c>
      <c r="Z17" s="21">
        <f>COUNT(Z6:Z16)</f>
        <v>0</v>
      </c>
      <c r="AA17" s="21">
        <f>COUNT(AA6:AA16)</f>
        <v>0</v>
      </c>
      <c r="AB17" s="21">
        <f>COUNT(AB6:AB16)</f>
        <v>3</v>
      </c>
      <c r="AC17" s="21">
        <f>COUNT(AC6:AC16)</f>
        <v>3</v>
      </c>
      <c r="AD17" s="21">
        <f>COUNT(AD6:AD16)</f>
        <v>3</v>
      </c>
      <c r="AE17" s="21">
        <f>COUNT(AE6:AE16)</f>
        <v>3</v>
      </c>
      <c r="AF17" s="21">
        <f>COUNT(AF6:AF16)</f>
        <v>3</v>
      </c>
      <c r="AG17" s="21">
        <f>COUNT(AG6:AG16)</f>
        <v>3</v>
      </c>
      <c r="AH17" s="21">
        <f>COUNT(AH6:AH16)</f>
        <v>3</v>
      </c>
      <c r="AI17" s="21">
        <f>COUNT(AI6:AI16)</f>
        <v>3</v>
      </c>
      <c r="AJ17" s="21">
        <f>COUNT(AJ6:AJ16)</f>
        <v>3</v>
      </c>
      <c r="AK17" s="21">
        <f>COUNT(AK6:AK16)</f>
        <v>3</v>
      </c>
      <c r="AL17" s="21">
        <f>COUNT(AL6:AL16)</f>
        <v>3</v>
      </c>
      <c r="AM17" s="21">
        <f>COUNT(AM6:AM16)</f>
        <v>3</v>
      </c>
      <c r="AN17" s="21">
        <f>COUNT(AN6:AN16)</f>
        <v>3</v>
      </c>
      <c r="AO17" s="21">
        <f>COUNT(AO6:AO16)</f>
        <v>3</v>
      </c>
      <c r="AP17" s="21">
        <f>COUNT(AP6:AP16)</f>
        <v>3</v>
      </c>
      <c r="AQ17" s="21">
        <f>COUNT(AQ6:AQ16)</f>
        <v>3</v>
      </c>
      <c r="AR17" s="21">
        <f>COUNT(AR6:AR16)</f>
        <v>3</v>
      </c>
      <c r="AS17" s="21">
        <f>COUNT(AS6:AS16)</f>
        <v>3</v>
      </c>
      <c r="AT17" s="21">
        <f>COUNT(AT6:AT16)</f>
        <v>3</v>
      </c>
      <c r="AU17" s="21">
        <f>COUNT(AU6:AU16)</f>
        <v>3</v>
      </c>
      <c r="AV17" s="21">
        <f>COUNT(AV6:AV16)</f>
        <v>3</v>
      </c>
      <c r="AW17" s="21">
        <f>COUNT(AW6:AW16)</f>
        <v>3</v>
      </c>
      <c r="AX17" s="21">
        <f>COUNT(AX6:AX16)</f>
        <v>3</v>
      </c>
      <c r="AY17" s="21">
        <f>COUNT(AY6:AY16)</f>
        <v>3</v>
      </c>
      <c r="AZ17" s="21">
        <f>COUNT(AZ6:AZ16)</f>
        <v>3</v>
      </c>
      <c r="BA17" s="21">
        <f>COUNT(BA6:BA16)</f>
        <v>3</v>
      </c>
      <c r="BB17" s="21">
        <f>COUNT(BB6:BB16)</f>
        <v>3</v>
      </c>
      <c r="BC17" s="21">
        <f>COUNT(BC6:BC16)</f>
        <v>3</v>
      </c>
      <c r="BD17" s="21">
        <f>COUNT(BD6:BD16)</f>
        <v>3</v>
      </c>
      <c r="BE17" s="21">
        <f>COUNT(BE6:BE16)</f>
        <v>3</v>
      </c>
      <c r="BF17" s="21">
        <f>COUNT(BF6:BF16)</f>
        <v>3</v>
      </c>
      <c r="BG17" s="21">
        <f>COUNT(BG6:BG16)</f>
        <v>3</v>
      </c>
      <c r="BH17" s="21">
        <f>COUNT(BH6:BH16)</f>
        <v>3</v>
      </c>
      <c r="BI17" s="21">
        <f>COUNT(BI6:BI16)</f>
        <v>3</v>
      </c>
      <c r="BJ17" s="21">
        <f>COUNT(BJ6:BJ16)</f>
        <v>3</v>
      </c>
      <c r="BK17" s="21">
        <f>COUNT(BK6:BK16)</f>
        <v>3</v>
      </c>
      <c r="BL17" s="21">
        <f>COUNT(BL6:BL16)</f>
        <v>3</v>
      </c>
      <c r="BM17" s="21">
        <f>COUNT(BM6:BM16)</f>
        <v>3</v>
      </c>
      <c r="BN17" s="21">
        <f>COUNT(BN6:BN16)</f>
        <v>3</v>
      </c>
      <c r="BO17" s="21">
        <f>COUNT(BO6:BO16)</f>
        <v>3</v>
      </c>
      <c r="BP17" s="21">
        <f>COUNT(BP6:BP16)</f>
        <v>3</v>
      </c>
      <c r="BQ17" s="21">
        <f>COUNT(BQ6:BQ16)</f>
        <v>3</v>
      </c>
      <c r="BR17" s="21">
        <f>COUNT(BR6:BR16)</f>
        <v>3</v>
      </c>
      <c r="BS17" s="21">
        <f>COUNT(BS6:BS16)</f>
        <v>3</v>
      </c>
      <c r="BT17" s="21">
        <f>COUNT(BT6:BT16)</f>
        <v>3</v>
      </c>
      <c r="BU17" s="21">
        <f>COUNT(BU6:BU16)</f>
        <v>3</v>
      </c>
      <c r="BV17" s="21">
        <f>COUNT(BV6:BV16)</f>
        <v>3</v>
      </c>
      <c r="BW17" s="21">
        <f>COUNT(BW6:BW16)</f>
        <v>3</v>
      </c>
      <c r="BX17" s="21">
        <f>COUNT(BX6:BX16)</f>
        <v>3</v>
      </c>
      <c r="BY17" s="21">
        <f>COUNT(BY6:BY16)</f>
        <v>3</v>
      </c>
      <c r="BZ17" s="21">
        <f>COUNT(BZ6:BZ16)</f>
        <v>3</v>
      </c>
      <c r="CA17" s="21">
        <f>COUNT(CA6:CA16)</f>
        <v>3</v>
      </c>
      <c r="CB17" s="21">
        <f>COUNT(CB6:CB16)</f>
        <v>3</v>
      </c>
      <c r="CC17" s="21">
        <f>COUNT(CC6:CC16)</f>
        <v>3</v>
      </c>
      <c r="CD17" s="21">
        <f>COUNT(CD6:CD16)</f>
        <v>3</v>
      </c>
      <c r="CE17" s="21">
        <f>COUNT(CE6:CE16)</f>
        <v>3</v>
      </c>
      <c r="CF17" s="21">
        <f>COUNT(CF6:CF16)</f>
        <v>3</v>
      </c>
      <c r="CG17" s="21">
        <f>COUNT(CG6:CG16)</f>
        <v>3</v>
      </c>
      <c r="CH17" s="21">
        <f>COUNT(CH6:CH16)</f>
        <v>3</v>
      </c>
      <c r="CI17" s="21">
        <f>COUNT(CI6:CI16)</f>
        <v>3</v>
      </c>
      <c r="CJ17" s="21">
        <f>COUNT(CJ6:CJ16)</f>
        <v>3</v>
      </c>
      <c r="CK17" s="21">
        <f>COUNT(CK6:CK16)</f>
        <v>3</v>
      </c>
      <c r="CL17" s="21">
        <f>COUNT(CL6:CL16)</f>
        <v>3</v>
      </c>
      <c r="CM17" s="21">
        <f>COUNT(CM6:CM16)</f>
        <v>3</v>
      </c>
      <c r="CN17" s="21">
        <f>COUNT(CN6:CN16)</f>
        <v>3</v>
      </c>
      <c r="CO17" s="21">
        <f>COUNT(CO6:CO16)</f>
        <v>3</v>
      </c>
      <c r="CP17" s="21">
        <f>COUNT(CP6:CP16)</f>
        <v>3</v>
      </c>
      <c r="CQ17" s="21">
        <f>COUNT(CQ6:CQ16)</f>
        <v>3</v>
      </c>
      <c r="CR17" s="21">
        <f>COUNT(CR6:CR16)</f>
        <v>3</v>
      </c>
      <c r="CS17" s="21">
        <f>COUNT(CS6:CS16)</f>
        <v>0</v>
      </c>
      <c r="CT17" s="21">
        <f>COUNT(CT6:CT16)</f>
        <v>3</v>
      </c>
      <c r="CU17" s="21">
        <f>COUNT(CU6:CU16)</f>
        <v>3</v>
      </c>
      <c r="CV17" s="21">
        <f>COUNT(CV6:CV16)</f>
        <v>3</v>
      </c>
      <c r="CW17" s="21">
        <f>COUNT(CW6:CW16)</f>
        <v>3</v>
      </c>
      <c r="CX17" s="21">
        <f>COUNT(CX6:CX16)</f>
        <v>3</v>
      </c>
      <c r="CY17" s="21">
        <f>COUNT(CY6:CY16)</f>
        <v>3</v>
      </c>
      <c r="CZ17" s="21">
        <f>COUNT(CZ6:CZ16)</f>
        <v>3</v>
      </c>
      <c r="DA17" s="21">
        <f>COUNT(DA6:DA16)</f>
        <v>3</v>
      </c>
      <c r="DB17" s="21">
        <f>COUNT(DB6:DB16)</f>
        <v>3</v>
      </c>
      <c r="DC17" s="21">
        <f>COUNT(DC6:DC16)</f>
        <v>3</v>
      </c>
      <c r="DD17" s="21">
        <f>COUNT(DD6:DD16)</f>
        <v>3</v>
      </c>
      <c r="DE17" s="21">
        <f>COUNT(DE6:DE16)</f>
        <v>3</v>
      </c>
      <c r="DF17" s="21">
        <f>COUNT(DF6:DF16)</f>
        <v>3</v>
      </c>
      <c r="DG17" s="21">
        <f>COUNT(DG6:DG16)</f>
        <v>3</v>
      </c>
      <c r="DH17" s="21">
        <f>COUNT(DH6:DH16)</f>
        <v>3</v>
      </c>
      <c r="DI17" s="21">
        <f>COUNT(DI6:DI16)</f>
        <v>3</v>
      </c>
      <c r="DJ17" s="21">
        <f>COUNT(DJ6:DJ16)</f>
        <v>3</v>
      </c>
      <c r="DK17" s="21">
        <f>COUNT(DK6:DK16)</f>
        <v>3</v>
      </c>
      <c r="DL17" s="21">
        <f>COUNT(DL6:DL16)</f>
        <v>3</v>
      </c>
      <c r="DM17" s="21">
        <f>COUNT(DM6:DM16)</f>
        <v>3</v>
      </c>
      <c r="DN17" s="21">
        <f>COUNT(DN6:DN16)</f>
        <v>3</v>
      </c>
      <c r="DO17" s="21">
        <f>COUNT(DO6:DO16)</f>
        <v>3</v>
      </c>
      <c r="DP17" s="21">
        <f>COUNT(DP6:DP16)</f>
        <v>3</v>
      </c>
      <c r="DQ17" s="21">
        <f>COUNT(DQ6:DQ16)</f>
        <v>3</v>
      </c>
      <c r="DR17" s="21">
        <f>COUNT(DR6:DR16)</f>
        <v>3</v>
      </c>
      <c r="DS17" s="21">
        <f>COUNT(DS6:DS16)</f>
        <v>3</v>
      </c>
      <c r="DT17" s="21">
        <f>COUNT(DT6:DT16)</f>
        <v>3</v>
      </c>
      <c r="DU17" s="21">
        <f>COUNT(DU6:DU16)</f>
        <v>3</v>
      </c>
      <c r="DV17" s="20"/>
      <c r="DW17" s="21">
        <f>COUNTIF(DW6:DW16,"&gt;0")</f>
        <v>0</v>
      </c>
      <c r="DX17" s="21">
        <f>COUNTIF(DX6:DX16,"&gt;0")</f>
        <v>0</v>
      </c>
      <c r="DY17" s="21">
        <f>COUNTIF(DY6:DY16,"&gt;0")</f>
        <v>0</v>
      </c>
      <c r="DZ17" s="21">
        <f>COUNTIF(DZ6:DZ16,"&gt;0")</f>
        <v>0</v>
      </c>
      <c r="EA17" s="20"/>
      <c r="EB17" s="21">
        <f>COUNTIF(EB6:EB16,"&gt;0")</f>
        <v>0</v>
      </c>
      <c r="EC17" s="21">
        <f>COUNTIF(EC6:EC16,"&gt;0")</f>
        <v>0</v>
      </c>
      <c r="ED17" s="21">
        <f>COUNTIF(ED6:ED16,"&gt;0")</f>
        <v>0</v>
      </c>
      <c r="EE17" s="21">
        <f>COUNTIF(EE6:EE16,"&gt;0")</f>
        <v>0</v>
      </c>
      <c r="EF17" s="21">
        <f>COUNTIF(EF6:EF16,"&gt;0")</f>
        <v>1</v>
      </c>
      <c r="EG17" s="21">
        <f>COUNTIF(EG6:EG16,"&gt;0")</f>
        <v>1</v>
      </c>
      <c r="EH17" s="21">
        <f>COUNTIF(EH6:EH16,"&gt;0")</f>
        <v>1</v>
      </c>
      <c r="EI17" s="21">
        <f>COUNTIFS(EI6:EI16, "&lt;&gt;",EI6:EI16, "&lt;&gt;-" )</f>
        <v>0</v>
      </c>
      <c r="EJ17" s="21">
        <f>COUNTIFS(EJ6:EJ16, "&lt;&gt;",EJ6:EJ16, "&lt;&gt;No" )</f>
        <v>0</v>
      </c>
      <c r="EK17" s="21">
        <f>COUNTIFS(EK6:EK16, "&lt;&gt;",EK6:EK16, "&lt;&gt;No" )</f>
        <v>0</v>
      </c>
      <c r="EL17" s="21">
        <f>COUNTIFS(EL6:EL16, "&lt;&gt;",EL6:EL16, "&lt;&gt;No" )</f>
        <v>0</v>
      </c>
      <c r="EM17" s="21">
        <f>COUNTIFS(EM6:EM16, "&lt;&gt;",EM6:EM16, "&lt;&gt;No" )</f>
        <v>0</v>
      </c>
      <c r="EN17" s="21">
        <f>COUNTIFS(EN6:EN16, "&lt;&gt;",EN6:EN16, "&lt;&gt;No" )</f>
        <v>0</v>
      </c>
      <c r="EO17" s="21">
        <f>COUNTIFS(EO6:EO16, "&lt;&gt;",EO6:EO16, "&lt;&gt;No" )</f>
        <v>0</v>
      </c>
      <c r="EP17" s="21">
        <f>COUNTIFS(EP6:EP16, "&lt;&gt;",EP6:EP16, "&lt;&gt;No" )</f>
        <v>0</v>
      </c>
      <c r="EQ17" s="21">
        <f>COUNTIFS(EQ6:EQ16, "&lt;&gt;",EQ6:EQ16, "&lt;&gt;No" )</f>
        <v>0</v>
      </c>
      <c r="ER17" s="21">
        <f>COUNTIFS(ER6:ER16, "&lt;&gt;",ER6:ER16, "&lt;&gt;No" )</f>
        <v>0</v>
      </c>
      <c r="ES17" s="21">
        <f>COUNTIFS(ES6:ES16, "&lt;&gt;",ES6:ES16, "&lt;&gt;No" )</f>
        <v>0</v>
      </c>
      <c r="ET17" s="21">
        <f>COUNTIFS(ET6:ET16, "&lt;&gt;",ET6:ET16, "&lt;&gt;No" )</f>
        <v>0</v>
      </c>
      <c r="EU17" s="21">
        <f>COUNTIFS(EU6:EU16, "&lt;&gt;",EU6:EU16, "&lt;&gt;No" )</f>
        <v>0</v>
      </c>
      <c r="EV17" s="21">
        <f>COUNTIFS(EV6:EV16, "&lt;&gt;",EV6:EV16, "&lt;&gt;No" )</f>
        <v>0</v>
      </c>
      <c r="EW17" s="21">
        <f>COUNTIFS(EW6:EW16, "&lt;&gt;",EW6:EW16, "&lt;&gt;No" )</f>
        <v>0</v>
      </c>
      <c r="EX17" s="21">
        <f>COUNTIFS(EX6:EX16, "&lt;&gt;",EX6:EX16, "&lt;&gt;No" )</f>
        <v>0</v>
      </c>
      <c r="EY17" s="21">
        <f>COUNTIFS(EY6:EY16, "&lt;&gt;",EY6:EY16, "&lt;&gt;No" )</f>
        <v>0</v>
      </c>
      <c r="EZ17" s="21">
        <f>COUNTIFS(EZ6:EZ16, "&lt;&gt;",EZ6:EZ16, "&lt;&gt;No" )</f>
        <v>0</v>
      </c>
      <c r="FA17" s="21">
        <f>COUNTIFS(FA6:FA16, "&lt;&gt;",FA6:FA16, "&lt;&gt;No" )</f>
        <v>0</v>
      </c>
      <c r="FB17" s="21">
        <f>COUNTIFS(FB6:FB16, "&lt;&gt;",FB6:FB16, "&lt;&gt;No" )</f>
        <v>0</v>
      </c>
      <c r="FC17" s="21">
        <f>COUNTIFS(FC6:FC16, "&lt;&gt;",FC6:FC16, "&lt;&gt;No" )</f>
        <v>0</v>
      </c>
      <c r="FD17" s="21">
        <f>COUNTIFS(FD6:FD16, "&lt;&gt;",FD6:FD16, "&lt;&gt;No" )</f>
        <v>0</v>
      </c>
      <c r="FE17" s="21">
        <f>COUNTIFS(FE6:FE16, "&lt;&gt;",FE6:FE16, "&lt;&gt;No" )</f>
        <v>0</v>
      </c>
      <c r="FF17" s="21">
        <f>COUNTIFS(FF6:FF16, "&lt;&gt;",FF6:FF16, "&lt;&gt;No" )</f>
        <v>0</v>
      </c>
      <c r="FG17" s="21">
        <f>COUNTIFS(FG6:FG16, "&lt;&gt;",FG6:FG16, "&lt;&gt;No" )</f>
        <v>0</v>
      </c>
      <c r="FH17" s="21">
        <f>COUNTIFS(FH6:FH16, "&lt;&gt;",FH6:FH16, "&lt;&gt;No" )</f>
        <v>0</v>
      </c>
      <c r="FI17" s="21">
        <f>COUNTIFS(FI6:FI16, "&lt;&gt;",FI6:FI16, "&lt;&gt;No" )</f>
        <v>0</v>
      </c>
      <c r="FJ17" s="21">
        <f>COUNTIFS(FJ6:FJ16, "&lt;&gt;",FJ6:FJ16, "&lt;&gt;No" )</f>
        <v>0</v>
      </c>
      <c r="FK17" s="21">
        <f>COUNTIFS(FK6:FK16, "&lt;&gt;",FK6:FK16, "&lt;&gt;No" )</f>
        <v>0</v>
      </c>
      <c r="FL17" s="21">
        <f>COUNTIFS(FL6:FL16, "&lt;&gt;",FL6:FL16, "&lt;&gt;No" )</f>
        <v>0</v>
      </c>
      <c r="FM17" s="21">
        <f>COUNTIFS(FM6:FM16, "&lt;&gt;",FM6:FM16, "&lt;&gt;No" )</f>
        <v>0</v>
      </c>
      <c r="FN17" s="21">
        <f>COUNTIFS(FN6:FN16, "&lt;&gt;",FN6:FN16, "&lt;&gt;No" )</f>
        <v>0</v>
      </c>
      <c r="FO17" s="21">
        <f>COUNTIFS(FO6:FO16, "&lt;&gt;",FO6:FO16, "&lt;&gt;No" )</f>
        <v>0</v>
      </c>
      <c r="FP17" s="21">
        <f>COUNTIFS(FP6:FP16, "&lt;&gt;",FP6:FP16, "&lt;&gt;No" )</f>
        <v>0</v>
      </c>
      <c r="FQ17" s="21">
        <f>COUNTIFS(FQ6:FQ16, "&lt;&gt;",FQ6:FQ16, "&lt;&gt;No" )</f>
        <v>0</v>
      </c>
      <c r="FR17" s="21">
        <f>COUNTIFS(FR6:FR16, "&lt;&gt;",FR6:FR16, "&lt;&gt;No" )</f>
        <v>0</v>
      </c>
      <c r="FS17" s="21">
        <f>COUNTIFS(FS6:FS16, "&lt;&gt;",FS6:FS16, "&lt;&gt;No" )</f>
        <v>0</v>
      </c>
      <c r="FT17" s="21">
        <f>COUNTIFS(FT6:FT16, "&lt;&gt;",FT6:FT16, "&lt;&gt;No" )</f>
        <v>0</v>
      </c>
      <c r="FU17" s="21">
        <f>COUNTIFS(FU6:FU16, "&lt;&gt;",FU6:FU16, "&lt;&gt;No" )</f>
        <v>0</v>
      </c>
      <c r="FV17" s="21">
        <f>COUNTIFS(FV6:FV16, "&lt;&gt;",FV6:FV16, "&lt;&gt;No" )</f>
        <v>0</v>
      </c>
      <c r="FW17" s="21">
        <f>COUNTIFS(FW6:FW16, "&lt;&gt;",FW6:FW16, "&lt;&gt;No" )</f>
        <v>0</v>
      </c>
      <c r="FX17" s="21">
        <f>COUNTIFS(FX6:FX16, "&lt;&gt;",FX6:FX16, "&lt;&gt;No" )</f>
        <v>3</v>
      </c>
      <c r="FY17" s="21">
        <f>COUNTIFS(FY6:FY16, "&lt;&gt;",FY6:FY16, "&lt;&gt;No" )</f>
        <v>0</v>
      </c>
      <c r="FZ17" s="21">
        <f>COUNTIFS(FZ6:FZ16, "&lt;&gt;",FZ6:FZ16, "&lt;&gt;No" )</f>
        <v>0</v>
      </c>
      <c r="GA17" s="21">
        <f>COUNTIFS(GA6:GA16, "&lt;&gt;",GA6:GA16, "&lt;&gt;No" )</f>
        <v>0</v>
      </c>
      <c r="GB17" s="21">
        <f>COUNTIFS(GB6:GB16, "&lt;&gt;",GB6:GB16, "&lt;&gt;No" )</f>
        <v>0</v>
      </c>
      <c r="GC17" s="21">
        <f>COUNTIFS(GC6:GC16, "&lt;&gt;",GC6:GC16, "&lt;&gt;No" )</f>
        <v>0</v>
      </c>
      <c r="GD17" s="21">
        <f>COUNTIFS(GD6:GD16, "&lt;&gt;",GD6:GD16, "&lt;&gt;No" )</f>
        <v>0</v>
      </c>
      <c r="GE17" s="21">
        <f>COUNTIFS(GE6:GE16, "&lt;&gt;",GE6:GE16, "&lt;&gt;No" )</f>
        <v>0</v>
      </c>
      <c r="GF17" s="21">
        <f>COUNTIFS(GF6:GF16, "&lt;&gt;",GF6:GF16, "&lt;&gt;No" )</f>
        <v>0</v>
      </c>
      <c r="GG17" s="21">
        <f>COUNTIFS(GG6:GG16, "&lt;&gt;",GG6:GG16, "&lt;&gt;No" )</f>
        <v>0</v>
      </c>
      <c r="GH17" s="21">
        <f>COUNTIFS(GH6:GH16, "&lt;&gt;",GH6:GH16, "&lt;&gt;No" )</f>
        <v>0</v>
      </c>
      <c r="GI17" s="21">
        <f>COUNTIFS(GI6:GI16, "&lt;&gt;",GI6:GI16, "&lt;&gt;No" )</f>
        <v>0</v>
      </c>
      <c r="GJ17" s="21">
        <f>COUNTIFS(GJ6:GJ16, "&lt;&gt;",GJ6:GJ16, "&lt;&gt;No" )</f>
        <v>0</v>
      </c>
      <c r="GK17" s="21">
        <f>COUNTIFS(GK6:GK16, "&lt;&gt;",GK6:GK16, "&lt;&gt;No" )</f>
        <v>0</v>
      </c>
      <c r="GL17" s="21">
        <f>COUNTIFS(GL6:GL16, "&lt;&gt;",GL6:GL16, "&lt;&gt;No" )</f>
        <v>0</v>
      </c>
      <c r="GM17" s="21">
        <f>COUNTIFS(GM6:GM16, "&lt;&gt;",GM6:GM16, "&lt;&gt;No" )</f>
        <v>3</v>
      </c>
      <c r="GN17" s="21">
        <f>COUNTIFS(GN6:GN16, "&lt;&gt;",GN6:GN16, "&lt;&gt;No" )</f>
        <v>1</v>
      </c>
      <c r="GO17" s="21">
        <f>COUNTIFS(GO6:GO16, "&lt;&gt;",GO6:GO16, "&lt;&gt;No" )</f>
        <v>2</v>
      </c>
      <c r="GP17" s="21">
        <f>SUM(EJ17:GO17)</f>
        <v>9</v>
      </c>
    </row>
    <row r="18" spans="2:198">
      <c r="B18" s="13" t="s">
        <v>242</v>
      </c>
      <c r="C18" s="13"/>
      <c r="D18" s="14"/>
      <c r="E18" s="14"/>
      <c r="F18" s="57"/>
      <c r="G18" s="14"/>
      <c r="H18" s="14"/>
      <c r="I18" s="14"/>
      <c r="J18" s="14"/>
      <c r="K18" s="14"/>
      <c r="L18" s="14">
        <f>COUNTIF(L6:L16,"&gt;1")</f>
        <v>0</v>
      </c>
      <c r="M18" s="14">
        <f>COUNTIF(M6:M16,"&gt;1")</f>
        <v>0</v>
      </c>
      <c r="N18" s="14">
        <f>COUNTIF(N6:N16,"&gt;1")</f>
        <v>0</v>
      </c>
      <c r="O18" s="14">
        <f>COUNTIF(O6:O16,"&gt;1")</f>
        <v>1</v>
      </c>
      <c r="P18" s="14">
        <f>COUNTIF(P6:P16,"&gt;1")</f>
        <v>2</v>
      </c>
      <c r="Q18" s="14">
        <f>COUNTIF(Q6:Q16,"&gt;1")</f>
        <v>0</v>
      </c>
      <c r="R18" s="14">
        <f>COUNTIF(R6:R16,"&gt;1")</f>
        <v>0</v>
      </c>
      <c r="S18" s="14">
        <f>COUNTIF(S6:S16,"&gt;1")</f>
        <v>0</v>
      </c>
      <c r="T18" s="14">
        <f>COUNTIF(T6:T16,"&gt;1")</f>
        <v>0</v>
      </c>
      <c r="U18" s="14">
        <f>COUNTIF(U6:U16,"&gt;1")</f>
        <v>0</v>
      </c>
      <c r="V18" s="14">
        <f>COUNTIF(V6:V16,"&gt;1")</f>
        <v>0</v>
      </c>
      <c r="W18" s="14">
        <f>COUNTIF(W6:W16,"&gt;1")</f>
        <v>2</v>
      </c>
      <c r="X18" s="14">
        <f>COUNTIF(X6:X16,"&gt;1")</f>
        <v>1</v>
      </c>
      <c r="Y18" s="14">
        <f>COUNTIF(Y6:Y16,"&gt;1")</f>
        <v>1</v>
      </c>
      <c r="Z18" s="14">
        <f>COUNTIF(Z6:Z16,"&gt;1")</f>
        <v>0</v>
      </c>
      <c r="AA18" s="14">
        <f>COUNTIF(AA6:AA16,"&gt;1")</f>
        <v>0</v>
      </c>
      <c r="AB18" s="14">
        <f>COUNTIF(AB6:AB16,"&gt;1")</f>
        <v>2</v>
      </c>
      <c r="AC18" s="14">
        <f>COUNTIF(AC6:AC16,"&gt;1")</f>
        <v>3</v>
      </c>
      <c r="AD18" s="14">
        <f>COUNTIF(AD6:AD16,"&gt;1")</f>
        <v>1</v>
      </c>
      <c r="AE18" s="14">
        <f>COUNTIF(AE6:AE16,"&gt;1")</f>
        <v>2</v>
      </c>
      <c r="AF18" s="14">
        <f>COUNTIF(AF6:AF16,"&gt;1")</f>
        <v>1</v>
      </c>
      <c r="AG18" s="14">
        <f>COUNTIF(AG6:AG16,"&gt;1")</f>
        <v>0</v>
      </c>
      <c r="AH18" s="14">
        <f>COUNTIF(AH6:AH16,"&gt;1")</f>
        <v>3</v>
      </c>
      <c r="AI18" s="14">
        <f>COUNTIF(AI6:AI16,"&gt;1")</f>
        <v>1</v>
      </c>
      <c r="AJ18" s="14">
        <f>COUNTIF(AJ6:AJ16,"&gt;1")</f>
        <v>0</v>
      </c>
      <c r="AK18" s="14">
        <f>COUNTIF(AK6:AK16,"&gt;1")</f>
        <v>0</v>
      </c>
      <c r="AL18" s="14">
        <f>COUNTIF(AL6:AL16,"&gt;1")</f>
        <v>0</v>
      </c>
      <c r="AM18" s="14">
        <f>COUNTIF(AM6:AM16,"&gt;1")</f>
        <v>0</v>
      </c>
      <c r="AN18" s="14">
        <f>COUNTIF(AN6:AN16,"&gt;1")</f>
        <v>1</v>
      </c>
      <c r="AO18" s="14">
        <f>COUNTIF(AO6:AO16,"&gt;1")</f>
        <v>0</v>
      </c>
      <c r="AP18" s="14">
        <f>COUNTIF(AP6:AP16,"&gt;1")</f>
        <v>3</v>
      </c>
      <c r="AQ18" s="14">
        <f>COUNTIF(AQ6:AQ16,"&gt;1")</f>
        <v>0</v>
      </c>
      <c r="AR18" s="14">
        <f>COUNTIF(AR6:AR16,"&gt;1")</f>
        <v>1</v>
      </c>
      <c r="AS18" s="14">
        <f>COUNTIF(AS6:AS16,"&gt;1")</f>
        <v>0</v>
      </c>
      <c r="AT18" s="14">
        <f>COUNTIF(AT6:AT16,"&gt;1")</f>
        <v>0</v>
      </c>
      <c r="AU18" s="14">
        <f>COUNTIF(AU6:AU16,"&gt;1")</f>
        <v>0</v>
      </c>
      <c r="AV18" s="14">
        <f>COUNTIF(AV6:AV16,"&gt;1")</f>
        <v>1</v>
      </c>
      <c r="AW18" s="14">
        <f>COUNTIF(AW6:AW16,"&gt;1")</f>
        <v>0</v>
      </c>
      <c r="AX18" s="14">
        <f>COUNTIF(AX6:AX16,"&gt;1")</f>
        <v>0</v>
      </c>
      <c r="AY18" s="14">
        <f>COUNTIF(AY6:AY16,"&gt;1")</f>
        <v>0</v>
      </c>
      <c r="AZ18" s="14">
        <f>COUNTIF(AZ6:AZ16,"&gt;1")</f>
        <v>0</v>
      </c>
      <c r="BA18" s="14">
        <f>COUNTIF(BA6:BA16,"&gt;1")</f>
        <v>0</v>
      </c>
      <c r="BB18" s="14">
        <f>COUNTIF(BB6:BB16,"&gt;1")</f>
        <v>0</v>
      </c>
      <c r="BC18" s="14">
        <f>COUNTIF(BC6:BC16,"&gt;1")</f>
        <v>0</v>
      </c>
      <c r="BD18" s="14">
        <f>COUNTIF(BD6:BD16,"&gt;1")</f>
        <v>0</v>
      </c>
      <c r="BE18" s="14">
        <f>COUNTIF(BE6:BE16,"&gt;1")</f>
        <v>0</v>
      </c>
      <c r="BF18" s="14">
        <f>COUNTIF(BF6:BF16,"&gt;1")</f>
        <v>0</v>
      </c>
      <c r="BG18" s="14">
        <f>COUNTIF(BG6:BG16,"&gt;1")</f>
        <v>0</v>
      </c>
      <c r="BH18" s="14">
        <f>COUNTIF(BH6:BH16,"&gt;1")</f>
        <v>0</v>
      </c>
      <c r="BI18" s="14">
        <f>COUNTIF(BI6:BI16,"&gt;1")</f>
        <v>0</v>
      </c>
      <c r="BJ18" s="14">
        <f>COUNTIF(BJ6:BJ16,"&gt;1")</f>
        <v>0</v>
      </c>
      <c r="BK18" s="14">
        <f>COUNTIF(BK6:BK16,"&gt;1")</f>
        <v>0</v>
      </c>
      <c r="BL18" s="14">
        <f>COUNTIF(BL6:BL16,"&gt;1")</f>
        <v>0</v>
      </c>
      <c r="BM18" s="14">
        <f>COUNTIF(BM6:BM16,"&gt;1")</f>
        <v>0</v>
      </c>
      <c r="BN18" s="14">
        <f>COUNTIF(BN6:BN16,"&gt;1")</f>
        <v>0</v>
      </c>
      <c r="BO18" s="14">
        <f>COUNTIF(BO6:BO16,"&gt;1")</f>
        <v>3</v>
      </c>
      <c r="BP18" s="14">
        <f>COUNTIF(BP6:BP16,"&gt;1")</f>
        <v>0</v>
      </c>
      <c r="BQ18" s="14">
        <f>COUNTIF(BQ6:BQ16,"&gt;1")</f>
        <v>0</v>
      </c>
      <c r="BR18" s="14">
        <f>COUNTIF(BR6:BR16,"&gt;1")</f>
        <v>0</v>
      </c>
      <c r="BS18" s="14">
        <f>COUNTIF(BS6:BS16,"&gt;1")</f>
        <v>1</v>
      </c>
      <c r="BT18" s="14">
        <f>COUNTIF(BT6:BT16,"&gt;1")</f>
        <v>0</v>
      </c>
      <c r="BU18" s="14">
        <f>COUNTIF(BU6:BU16,"&gt;1")</f>
        <v>0</v>
      </c>
      <c r="BV18" s="14">
        <f>COUNTIF(BV6:BV16,"&gt;1")</f>
        <v>0</v>
      </c>
      <c r="BW18" s="14">
        <f>COUNTIF(BW6:BW16,"&gt;1")</f>
        <v>0</v>
      </c>
      <c r="BX18" s="14">
        <f>COUNTIF(BX6:BX16,"&gt;1")</f>
        <v>0</v>
      </c>
      <c r="BY18" s="14">
        <f>COUNTIF(BY6:BY16,"&gt;1")</f>
        <v>0</v>
      </c>
      <c r="BZ18" s="14">
        <f>COUNTIF(BZ6:BZ16,"&gt;1")</f>
        <v>0</v>
      </c>
      <c r="CA18" s="14">
        <f>COUNTIF(CA6:CA16,"&gt;1")</f>
        <v>0</v>
      </c>
      <c r="CB18" s="14">
        <f>COUNTIF(CB6:CB16,"&gt;1")</f>
        <v>0</v>
      </c>
      <c r="CC18" s="14">
        <f>COUNTIF(CC6:CC16,"&gt;1")</f>
        <v>0</v>
      </c>
      <c r="CD18" s="14">
        <f>COUNTIF(CD6:CD16,"&gt;1")</f>
        <v>0</v>
      </c>
      <c r="CE18" s="14">
        <f>COUNTIF(CE6:CE16,"&gt;1")</f>
        <v>0</v>
      </c>
      <c r="CF18" s="14">
        <f>COUNTIF(CF6:CF16,"&gt;1")</f>
        <v>0</v>
      </c>
      <c r="CG18" s="14">
        <f>COUNTIF(CG6:CG16,"&gt;1")</f>
        <v>0</v>
      </c>
      <c r="CH18" s="14">
        <f>COUNTIF(CH6:CH16,"&gt;1")</f>
        <v>0</v>
      </c>
      <c r="CI18" s="14">
        <f>COUNTIF(CI6:CI16,"&gt;1")</f>
        <v>0</v>
      </c>
      <c r="CJ18" s="14">
        <f>COUNTIF(CJ6:CJ16,"&gt;1")</f>
        <v>0</v>
      </c>
      <c r="CK18" s="14">
        <f>COUNTIF(CK6:CK16,"&gt;1")</f>
        <v>1</v>
      </c>
      <c r="CL18" s="14">
        <f>COUNTIF(CL6:CL16,"&gt;1")</f>
        <v>0</v>
      </c>
      <c r="CM18" s="14">
        <f>COUNTIF(CM6:CM16,"&gt;1")</f>
        <v>0</v>
      </c>
      <c r="CN18" s="14">
        <f>COUNTIF(CN6:CN16,"&gt;1")</f>
        <v>1</v>
      </c>
      <c r="CO18" s="14">
        <f>COUNTIF(CO6:CO16,"&gt;1")</f>
        <v>0</v>
      </c>
      <c r="CP18" s="14">
        <f>COUNTIF(CP6:CP16,"&gt;1")</f>
        <v>0</v>
      </c>
      <c r="CQ18" s="14">
        <f>COUNTIF(CQ6:CQ16,"&gt;1")</f>
        <v>0</v>
      </c>
      <c r="CR18" s="14">
        <f>COUNTIF(CR6:CR16,"&gt;1")</f>
        <v>0</v>
      </c>
      <c r="CS18" s="14">
        <f>COUNTIF(CS6:CS16,"&gt;1")</f>
        <v>0</v>
      </c>
      <c r="CT18" s="14">
        <f>COUNTIF(CT6:CT16,"&gt;1")</f>
        <v>0</v>
      </c>
      <c r="CU18" s="14">
        <f>COUNTIF(CU6:CU16,"&gt;1")</f>
        <v>0</v>
      </c>
      <c r="CV18" s="14">
        <f>COUNTIF(CV6:CV16,"&gt;1")</f>
        <v>0</v>
      </c>
      <c r="CW18" s="14">
        <f>COUNTIF(CW6:CW16,"&gt;1")</f>
        <v>0</v>
      </c>
      <c r="CX18" s="14">
        <f>COUNTIF(CX6:CX16,"&gt;1")</f>
        <v>0</v>
      </c>
      <c r="CY18" s="14">
        <f>COUNTIF(CY6:CY16,"&gt;1")</f>
        <v>0</v>
      </c>
      <c r="CZ18" s="14">
        <f>COUNTIF(CZ6:CZ16,"&gt;1")</f>
        <v>0</v>
      </c>
      <c r="DA18" s="14">
        <f>COUNTIF(DA6:DA16,"&gt;1")</f>
        <v>0</v>
      </c>
      <c r="DB18" s="14">
        <f>COUNTIF(DB6:DB16,"&gt;1")</f>
        <v>0</v>
      </c>
      <c r="DC18" s="14">
        <f>COUNTIF(DC6:DC16,"&gt;1")</f>
        <v>0</v>
      </c>
      <c r="DD18" s="14">
        <f>COUNTIF(DD6:DD16,"&gt;1")</f>
        <v>0</v>
      </c>
      <c r="DE18" s="14">
        <f>COUNTIF(DE6:DE16,"&gt;1")</f>
        <v>0</v>
      </c>
      <c r="DF18" s="14">
        <f>COUNTIF(DF6:DF16,"&gt;1")</f>
        <v>0</v>
      </c>
      <c r="DG18" s="14">
        <f>COUNTIF(DG6:DG16,"&gt;1")</f>
        <v>0</v>
      </c>
      <c r="DH18" s="14">
        <f>COUNTIF(DH6:DH16,"&gt;1")</f>
        <v>0</v>
      </c>
      <c r="DI18" s="14">
        <f>COUNTIF(DI6:DI16,"&gt;1")</f>
        <v>0</v>
      </c>
      <c r="DJ18" s="14">
        <f>COUNTIF(DJ6:DJ16,"&gt;1")</f>
        <v>0</v>
      </c>
      <c r="DK18" s="14">
        <f>COUNTIF(DK6:DK16,"&gt;1")</f>
        <v>0</v>
      </c>
      <c r="DL18" s="14">
        <f>COUNTIF(DL6:DL16,"&gt;1")</f>
        <v>0</v>
      </c>
      <c r="DM18" s="14">
        <f>COUNTIF(DM6:DM16,"&gt;1")</f>
        <v>0</v>
      </c>
      <c r="DN18" s="14">
        <f>COUNTIF(DN6:DN16,"&gt;1")</f>
        <v>0</v>
      </c>
      <c r="DO18" s="14">
        <f>COUNTIF(DO6:DO16,"&gt;1")</f>
        <v>0</v>
      </c>
      <c r="DP18" s="14">
        <f>COUNTIF(DP6:DP16,"&gt;1")</f>
        <v>1</v>
      </c>
      <c r="DQ18" s="14">
        <f>COUNTIF(DQ6:DQ16,"&gt;1")</f>
        <v>0</v>
      </c>
      <c r="DR18" s="14">
        <f>COUNTIF(DR6:DR16,"&gt;1")</f>
        <v>0</v>
      </c>
      <c r="DS18" s="14">
        <f>COUNTIF(DS6:DS16,"&gt;1")</f>
        <v>0</v>
      </c>
      <c r="DT18" s="14">
        <f>COUNTIF(DT6:DT16,"&gt;1")</f>
        <v>1</v>
      </c>
      <c r="DU18" s="14">
        <f>COUNTIF(DU6:DU16,"&gt;1")</f>
        <v>0</v>
      </c>
      <c r="DV18" s="57"/>
      <c r="DW18" s="15">
        <f>COUNTIF(DW6:DW16,"&gt;3")</f>
        <v>0</v>
      </c>
      <c r="DX18" s="15">
        <f>COUNTIF(DX6:DX16,"&gt;3")</f>
        <v>0</v>
      </c>
      <c r="DY18" s="15">
        <f>COUNTIF(DY6:DY16,"&gt;3")</f>
        <v>0</v>
      </c>
      <c r="DZ18" s="15">
        <f>COUNTIF(DZ6:DZ16,"&gt;3")</f>
        <v>0</v>
      </c>
      <c r="EA18" s="93"/>
      <c r="EB18" s="14">
        <f>COUNTIF(EB6:EB16,"&gt;3")</f>
        <v>0</v>
      </c>
      <c r="EC18" s="14">
        <f>COUNTIF(EC6:EC16,"&gt;3")</f>
        <v>0</v>
      </c>
      <c r="ED18" s="14">
        <f>COUNTIF(ED6:ED16,"&gt;3")</f>
        <v>0</v>
      </c>
      <c r="EE18" s="14">
        <f>COUNTIF(EE6:EE16,"&gt;3")</f>
        <v>0</v>
      </c>
      <c r="EF18" s="14">
        <f>COUNTIF(EF6:EF16,"&gt;3")</f>
        <v>0</v>
      </c>
      <c r="EG18" s="14">
        <f>COUNTIF(EG6:EG16,"&gt;3")</f>
        <v>0</v>
      </c>
      <c r="EH18" s="14">
        <f>COUNTIF(EH6:EH16,"&gt;3")</f>
        <v>0</v>
      </c>
      <c r="EI18" s="14">
        <f>COUNTIF(EI6:EI16,"&gt;3")</f>
        <v>0</v>
      </c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</row>
    <row r="19" spans="2:198">
      <c r="B19" s="13" t="s">
        <v>243</v>
      </c>
      <c r="C19" s="13"/>
      <c r="D19" s="14"/>
      <c r="E19" s="14"/>
      <c r="F19" s="57"/>
      <c r="G19" s="14"/>
      <c r="H19" s="14"/>
      <c r="I19" s="14"/>
      <c r="J19" s="14"/>
      <c r="K19" s="14"/>
      <c r="L19" s="14">
        <f>COUNTIF(L6:L16,"&gt;2")</f>
        <v>0</v>
      </c>
      <c r="M19" s="14">
        <f>COUNTIF(M6:M16,"&gt;2")</f>
        <v>0</v>
      </c>
      <c r="N19" s="14">
        <f>COUNTIF(N6:N16,"&gt;2")</f>
        <v>0</v>
      </c>
      <c r="O19" s="14">
        <f>COUNTIF(O6:O16,"&gt;2")</f>
        <v>0</v>
      </c>
      <c r="P19" s="14">
        <f>COUNTIF(P6:P16,"&gt;2")</f>
        <v>0</v>
      </c>
      <c r="Q19" s="14">
        <f>COUNTIF(Q6:Q16,"&gt;2")</f>
        <v>0</v>
      </c>
      <c r="R19" s="14">
        <f>COUNTIF(R6:R16,"&gt;2")</f>
        <v>0</v>
      </c>
      <c r="S19" s="14">
        <f>COUNTIF(S6:S16,"&gt;2")</f>
        <v>0</v>
      </c>
      <c r="T19" s="14">
        <f>COUNTIF(T6:T16,"&gt;2")</f>
        <v>0</v>
      </c>
      <c r="U19" s="14">
        <f>COUNTIF(U6:U16,"&gt;2")</f>
        <v>0</v>
      </c>
      <c r="V19" s="14">
        <f>COUNTIF(V6:V16,"&gt;2")</f>
        <v>0</v>
      </c>
      <c r="W19" s="14">
        <f>COUNTIF(W6:W16,"&gt;2")</f>
        <v>0</v>
      </c>
      <c r="X19" s="14">
        <f>COUNTIF(X6:X16,"&gt;2")</f>
        <v>0</v>
      </c>
      <c r="Y19" s="14">
        <f>COUNTIF(Y6:Y16,"&gt;2")</f>
        <v>0</v>
      </c>
      <c r="Z19" s="14">
        <f>COUNTIF(Z6:Z16,"&gt;2")</f>
        <v>0</v>
      </c>
      <c r="AA19" s="14">
        <f>COUNTIF(AA6:AA16,"&gt;2")</f>
        <v>0</v>
      </c>
      <c r="AB19" s="14">
        <f>COUNTIF(AB6:AB16,"&gt;2")</f>
        <v>1</v>
      </c>
      <c r="AC19" s="14">
        <f>COUNTIF(AC6:AC16,"&gt;2")</f>
        <v>2</v>
      </c>
      <c r="AD19" s="14">
        <f>COUNTIF(AD6:AD16,"&gt;2")</f>
        <v>1</v>
      </c>
      <c r="AE19" s="14">
        <f>COUNTIF(AE6:AE16,"&gt;2")</f>
        <v>1</v>
      </c>
      <c r="AF19" s="14">
        <f>COUNTIF(AF6:AF16,"&gt;2")</f>
        <v>0</v>
      </c>
      <c r="AG19" s="14">
        <f>COUNTIF(AG6:AG16,"&gt;2")</f>
        <v>0</v>
      </c>
      <c r="AH19" s="14">
        <f>COUNTIF(AH6:AH16,"&gt;2")</f>
        <v>1</v>
      </c>
      <c r="AI19" s="14">
        <f>COUNTIF(AI6:AI16,"&gt;2")</f>
        <v>0</v>
      </c>
      <c r="AJ19" s="14">
        <f>COUNTIF(AJ6:AJ16,"&gt;2")</f>
        <v>0</v>
      </c>
      <c r="AK19" s="14">
        <f>COUNTIF(AK6:AK16,"&gt;2")</f>
        <v>0</v>
      </c>
      <c r="AL19" s="14">
        <f>COUNTIF(AL6:AL16,"&gt;2")</f>
        <v>0</v>
      </c>
      <c r="AM19" s="14">
        <f>COUNTIF(AM6:AM16,"&gt;2")</f>
        <v>0</v>
      </c>
      <c r="AN19" s="14">
        <f>COUNTIF(AN6:AN16,"&gt;2")</f>
        <v>0</v>
      </c>
      <c r="AO19" s="14">
        <f>COUNTIF(AO6:AO16,"&gt;2")</f>
        <v>0</v>
      </c>
      <c r="AP19" s="14">
        <f>COUNTIF(AP6:AP16,"&gt;2")</f>
        <v>2</v>
      </c>
      <c r="AQ19" s="14">
        <f>COUNTIF(AQ6:AQ16,"&gt;2")</f>
        <v>0</v>
      </c>
      <c r="AR19" s="14">
        <f>COUNTIF(AR6:AR16,"&gt;2")</f>
        <v>0</v>
      </c>
      <c r="AS19" s="14">
        <f>COUNTIF(AS6:AS16,"&gt;2")</f>
        <v>0</v>
      </c>
      <c r="AT19" s="14">
        <f>COUNTIF(AT6:AT16,"&gt;2")</f>
        <v>0</v>
      </c>
      <c r="AU19" s="14">
        <f>COUNTIF(AU6:AU16,"&gt;2")</f>
        <v>0</v>
      </c>
      <c r="AV19" s="14">
        <f>COUNTIF(AV6:AV16,"&gt;2")</f>
        <v>0</v>
      </c>
      <c r="AW19" s="14">
        <f>COUNTIF(AW6:AW16,"&gt;2")</f>
        <v>0</v>
      </c>
      <c r="AX19" s="14">
        <f>COUNTIF(AX6:AX16,"&gt;2")</f>
        <v>0</v>
      </c>
      <c r="AY19" s="14">
        <f>COUNTIF(AY6:AY16,"&gt;2")</f>
        <v>0</v>
      </c>
      <c r="AZ19" s="14">
        <f>COUNTIF(AZ6:AZ16,"&gt;2")</f>
        <v>0</v>
      </c>
      <c r="BA19" s="14">
        <f>COUNTIF(BA6:BA16,"&gt;2")</f>
        <v>0</v>
      </c>
      <c r="BB19" s="14">
        <f>COUNTIF(BB6:BB16,"&gt;2")</f>
        <v>0</v>
      </c>
      <c r="BC19" s="14">
        <f>COUNTIF(BC6:BC16,"&gt;2")</f>
        <v>0</v>
      </c>
      <c r="BD19" s="14">
        <f>COUNTIF(BD6:BD16,"&gt;2")</f>
        <v>0</v>
      </c>
      <c r="BE19" s="14">
        <f>COUNTIF(BE6:BE16,"&gt;2")</f>
        <v>0</v>
      </c>
      <c r="BF19" s="14">
        <f>COUNTIF(BF6:BF16,"&gt;2")</f>
        <v>0</v>
      </c>
      <c r="BG19" s="14">
        <f>COUNTIF(BG6:BG16,"&gt;2")</f>
        <v>0</v>
      </c>
      <c r="BH19" s="14">
        <f>COUNTIF(BH6:BH16,"&gt;2")</f>
        <v>0</v>
      </c>
      <c r="BI19" s="14">
        <f>COUNTIF(BI6:BI16,"&gt;2")</f>
        <v>0</v>
      </c>
      <c r="BJ19" s="14">
        <f>COUNTIF(BJ6:BJ16,"&gt;2")</f>
        <v>0</v>
      </c>
      <c r="BK19" s="14">
        <f>COUNTIF(BK6:BK16,"&gt;2")</f>
        <v>0</v>
      </c>
      <c r="BL19" s="14">
        <f>COUNTIF(BL6:BL16,"&gt;2")</f>
        <v>0</v>
      </c>
      <c r="BM19" s="14">
        <f>COUNTIF(BM6:BM16,"&gt;2")</f>
        <v>0</v>
      </c>
      <c r="BN19" s="14">
        <f>COUNTIF(BN6:BN16,"&gt;2")</f>
        <v>0</v>
      </c>
      <c r="BO19" s="14">
        <f>COUNTIF(BO6:BO16,"&gt;2")</f>
        <v>0</v>
      </c>
      <c r="BP19" s="14">
        <f>COUNTIF(BP6:BP16,"&gt;2")</f>
        <v>0</v>
      </c>
      <c r="BQ19" s="14">
        <f>COUNTIF(BQ6:BQ16,"&gt;2")</f>
        <v>0</v>
      </c>
      <c r="BR19" s="14">
        <f>COUNTIF(BR6:BR16,"&gt;2")</f>
        <v>0</v>
      </c>
      <c r="BS19" s="14">
        <f>COUNTIF(BS6:BS16,"&gt;2")</f>
        <v>1</v>
      </c>
      <c r="BT19" s="14">
        <f>COUNTIF(BT6:BT16,"&gt;2")</f>
        <v>0</v>
      </c>
      <c r="BU19" s="14">
        <f>COUNTIF(BU6:BU16,"&gt;2")</f>
        <v>0</v>
      </c>
      <c r="BV19" s="14">
        <f>COUNTIF(BV6:BV16,"&gt;2")</f>
        <v>0</v>
      </c>
      <c r="BW19" s="14">
        <f>COUNTIF(BW6:BW16,"&gt;2")</f>
        <v>0</v>
      </c>
      <c r="BX19" s="14">
        <f>COUNTIF(BX6:BX16,"&gt;2")</f>
        <v>0</v>
      </c>
      <c r="BY19" s="14">
        <f>COUNTIF(BY6:BY16,"&gt;2")</f>
        <v>0</v>
      </c>
      <c r="BZ19" s="14">
        <f>COUNTIF(BZ6:BZ16,"&gt;2")</f>
        <v>0</v>
      </c>
      <c r="CA19" s="14">
        <f>COUNTIF(CA6:CA16,"&gt;2")</f>
        <v>0</v>
      </c>
      <c r="CB19" s="14">
        <f>COUNTIF(CB6:CB16,"&gt;2")</f>
        <v>0</v>
      </c>
      <c r="CC19" s="14">
        <f>COUNTIF(CC6:CC16,"&gt;2")</f>
        <v>0</v>
      </c>
      <c r="CD19" s="14">
        <f>COUNTIF(CD6:CD16,"&gt;2")</f>
        <v>0</v>
      </c>
      <c r="CE19" s="14">
        <f>COUNTIF(CE6:CE16,"&gt;2")</f>
        <v>0</v>
      </c>
      <c r="CF19" s="14">
        <f>COUNTIF(CF6:CF16,"&gt;2")</f>
        <v>0</v>
      </c>
      <c r="CG19" s="14">
        <f>COUNTIF(CG6:CG16,"&gt;2")</f>
        <v>0</v>
      </c>
      <c r="CH19" s="14">
        <f>COUNTIF(CH6:CH16,"&gt;2")</f>
        <v>0</v>
      </c>
      <c r="CI19" s="14">
        <f>COUNTIF(CI6:CI16,"&gt;2")</f>
        <v>0</v>
      </c>
      <c r="CJ19" s="14">
        <f>COUNTIF(CJ6:CJ16,"&gt;2")</f>
        <v>0</v>
      </c>
      <c r="CK19" s="14">
        <f>COUNTIF(CK6:CK16,"&gt;2")</f>
        <v>0</v>
      </c>
      <c r="CL19" s="14">
        <f>COUNTIF(CL6:CL16,"&gt;2")</f>
        <v>0</v>
      </c>
      <c r="CM19" s="14">
        <f>COUNTIF(CM6:CM16,"&gt;2")</f>
        <v>0</v>
      </c>
      <c r="CN19" s="14">
        <f>COUNTIF(CN6:CN16,"&gt;2")</f>
        <v>0</v>
      </c>
      <c r="CO19" s="14">
        <f>COUNTIF(CO6:CO16,"&gt;2")</f>
        <v>0</v>
      </c>
      <c r="CP19" s="14">
        <f>COUNTIF(CP6:CP16,"&gt;2")</f>
        <v>0</v>
      </c>
      <c r="CQ19" s="14">
        <f>COUNTIF(CQ6:CQ16,"&gt;2")</f>
        <v>0</v>
      </c>
      <c r="CR19" s="14">
        <f>COUNTIF(CR6:CR16,"&gt;2")</f>
        <v>0</v>
      </c>
      <c r="CS19" s="14">
        <f>COUNTIF(CS6:CS16,"&gt;2")</f>
        <v>0</v>
      </c>
      <c r="CT19" s="14">
        <f>COUNTIF(CT6:CT16,"&gt;2")</f>
        <v>0</v>
      </c>
      <c r="CU19" s="14">
        <f>COUNTIF(CU6:CU16,"&gt;2")</f>
        <v>0</v>
      </c>
      <c r="CV19" s="14">
        <f>COUNTIF(CV6:CV16,"&gt;2")</f>
        <v>0</v>
      </c>
      <c r="CW19" s="14">
        <f>COUNTIF(CW6:CW16,"&gt;2")</f>
        <v>0</v>
      </c>
      <c r="CX19" s="14">
        <f>COUNTIF(CX6:CX16,"&gt;2")</f>
        <v>0</v>
      </c>
      <c r="CY19" s="14">
        <f>COUNTIF(CY6:CY16,"&gt;2")</f>
        <v>0</v>
      </c>
      <c r="CZ19" s="14">
        <f>COUNTIF(CZ6:CZ16,"&gt;2")</f>
        <v>0</v>
      </c>
      <c r="DA19" s="14">
        <f>COUNTIF(DA6:DA16,"&gt;2")</f>
        <v>0</v>
      </c>
      <c r="DB19" s="14">
        <f>COUNTIF(DB6:DB16,"&gt;2")</f>
        <v>0</v>
      </c>
      <c r="DC19" s="14">
        <f>COUNTIF(DC6:DC16,"&gt;2")</f>
        <v>0</v>
      </c>
      <c r="DD19" s="14">
        <f>COUNTIF(DD6:DD16,"&gt;2")</f>
        <v>0</v>
      </c>
      <c r="DE19" s="14">
        <f>COUNTIF(DE6:DE16,"&gt;2")</f>
        <v>0</v>
      </c>
      <c r="DF19" s="14">
        <f>COUNTIF(DF6:DF16,"&gt;2")</f>
        <v>0</v>
      </c>
      <c r="DG19" s="14">
        <f>COUNTIF(DG6:DG16,"&gt;2")</f>
        <v>0</v>
      </c>
      <c r="DH19" s="14">
        <f>COUNTIF(DH6:DH16,"&gt;2")</f>
        <v>0</v>
      </c>
      <c r="DI19" s="14">
        <f>COUNTIF(DI6:DI16,"&gt;2")</f>
        <v>0</v>
      </c>
      <c r="DJ19" s="14">
        <f>COUNTIF(DJ6:DJ16,"&gt;2")</f>
        <v>0</v>
      </c>
      <c r="DK19" s="14">
        <f>COUNTIF(DK6:DK16,"&gt;2")</f>
        <v>0</v>
      </c>
      <c r="DL19" s="14">
        <f>COUNTIF(DL6:DL16,"&gt;2")</f>
        <v>0</v>
      </c>
      <c r="DM19" s="14">
        <f>COUNTIF(DM6:DM16,"&gt;2")</f>
        <v>0</v>
      </c>
      <c r="DN19" s="14">
        <f>COUNTIF(DN6:DN16,"&gt;2")</f>
        <v>0</v>
      </c>
      <c r="DO19" s="14">
        <f>COUNTIF(DO6:DO16,"&gt;2")</f>
        <v>0</v>
      </c>
      <c r="DP19" s="14">
        <f>COUNTIF(DP6:DP16,"&gt;2")</f>
        <v>0</v>
      </c>
      <c r="DQ19" s="14">
        <f>COUNTIF(DQ6:DQ16,"&gt;2")</f>
        <v>0</v>
      </c>
      <c r="DR19" s="14">
        <f>COUNTIF(DR6:DR16,"&gt;2")</f>
        <v>0</v>
      </c>
      <c r="DS19" s="14">
        <f>COUNTIF(DS6:DS16,"&gt;2")</f>
        <v>0</v>
      </c>
      <c r="DT19" s="14">
        <f>COUNTIF(DT6:DT16,"&gt;2")</f>
        <v>0</v>
      </c>
      <c r="DU19" s="14">
        <f>COUNTIF(DU6:DU16,"&gt;2")</f>
        <v>0</v>
      </c>
      <c r="DV19" s="57"/>
      <c r="DW19" s="15">
        <f>COUNTIF(DW6:DW16,"&gt;3")</f>
        <v>0</v>
      </c>
      <c r="DX19" s="15">
        <f>COUNTIF(DX6:DX16,"&gt;3")</f>
        <v>0</v>
      </c>
      <c r="DY19" s="15">
        <f>COUNTIF(DY6:DY16,"&gt;3")</f>
        <v>0</v>
      </c>
      <c r="DZ19" s="15">
        <f>COUNTIF(DZ6:DZ16,"&gt;3")</f>
        <v>0</v>
      </c>
      <c r="EA19" s="93"/>
      <c r="EB19" s="14">
        <f>COUNTIF(EB6:EB16,"&gt;3")</f>
        <v>0</v>
      </c>
      <c r="EC19" s="14">
        <f>COUNTIF(EC6:EC16,"&gt;3")</f>
        <v>0</v>
      </c>
      <c r="ED19" s="14">
        <f>COUNTIF(ED6:ED16,"&gt;3")</f>
        <v>0</v>
      </c>
      <c r="EE19" s="14">
        <f>COUNTIF(EE6:EE16,"&gt;3")</f>
        <v>0</v>
      </c>
      <c r="EF19" s="14">
        <f>COUNTIF(EF6:EF16,"&gt;3")</f>
        <v>0</v>
      </c>
      <c r="EG19" s="14">
        <f>COUNTIF(EG6:EG16,"&gt;3")</f>
        <v>0</v>
      </c>
      <c r="EH19" s="14">
        <f>COUNTIF(EH6:EH16,"&gt;3")</f>
        <v>0</v>
      </c>
      <c r="EI19" s="14">
        <f>COUNTIF(EI6:EI16,"&gt;3")</f>
        <v>0</v>
      </c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</row>
    <row r="20" spans="2:198">
      <c r="B20" s="13" t="s">
        <v>244</v>
      </c>
      <c r="C20" s="13"/>
      <c r="D20" s="14"/>
      <c r="E20" s="14"/>
      <c r="F20" s="57"/>
      <c r="G20" s="14"/>
      <c r="H20" s="14"/>
      <c r="I20" s="14"/>
      <c r="J20" s="14"/>
      <c r="K20" s="14"/>
      <c r="L20" s="16">
        <f>L19/L17</f>
        <v>0</v>
      </c>
      <c r="M20" s="16">
        <f t="shared" ref="M20:X20" si="2">M19/M17</f>
        <v>0</v>
      </c>
      <c r="N20" s="16">
        <f t="shared" si="2"/>
        <v>0</v>
      </c>
      <c r="O20" s="16">
        <f t="shared" si="2"/>
        <v>0</v>
      </c>
      <c r="P20" s="16">
        <f t="shared" si="2"/>
        <v>0</v>
      </c>
      <c r="Q20" s="16">
        <f t="shared" si="2"/>
        <v>0</v>
      </c>
      <c r="R20" s="16">
        <f t="shared" ref="R20" si="3">R19/R17</f>
        <v>0</v>
      </c>
      <c r="S20" s="16">
        <f t="shared" si="2"/>
        <v>0</v>
      </c>
      <c r="T20" s="16">
        <f t="shared" si="2"/>
        <v>0</v>
      </c>
      <c r="U20" s="16">
        <f t="shared" si="2"/>
        <v>0</v>
      </c>
      <c r="V20" s="16">
        <f t="shared" si="2"/>
        <v>0</v>
      </c>
      <c r="W20" s="16">
        <f t="shared" si="2"/>
        <v>0</v>
      </c>
      <c r="X20" s="16">
        <f t="shared" si="2"/>
        <v>0</v>
      </c>
      <c r="Y20" s="16">
        <f>Y19/Y17</f>
        <v>0</v>
      </c>
      <c r="Z20" s="16" t="e">
        <f t="shared" ref="Z20:AA20" si="4">Z19/Z17</f>
        <v>#DIV/0!</v>
      </c>
      <c r="AA20" s="16" t="e">
        <f t="shared" si="4"/>
        <v>#DIV/0!</v>
      </c>
      <c r="AB20" s="16">
        <f>AB19/AB17</f>
        <v>0.33333333333333331</v>
      </c>
      <c r="AC20" s="16">
        <f>AC19/AC17</f>
        <v>0.66666666666666663</v>
      </c>
      <c r="AD20" s="16">
        <f>AD19/AD17</f>
        <v>0.33333333333333331</v>
      </c>
      <c r="AE20" s="16">
        <f t="shared" ref="AE20:AS20" si="5">AE19/AE17</f>
        <v>0.33333333333333331</v>
      </c>
      <c r="AF20" s="37">
        <f t="shared" si="5"/>
        <v>0</v>
      </c>
      <c r="AG20" s="16">
        <f t="shared" si="5"/>
        <v>0</v>
      </c>
      <c r="AH20" s="16">
        <f t="shared" si="5"/>
        <v>0.33333333333333331</v>
      </c>
      <c r="AI20" s="16">
        <f t="shared" si="5"/>
        <v>0</v>
      </c>
      <c r="AJ20" s="16">
        <f t="shared" si="5"/>
        <v>0</v>
      </c>
      <c r="AK20" s="16">
        <f t="shared" si="5"/>
        <v>0</v>
      </c>
      <c r="AL20" s="16">
        <f t="shared" si="5"/>
        <v>0</v>
      </c>
      <c r="AM20" s="16">
        <f t="shared" si="5"/>
        <v>0</v>
      </c>
      <c r="AN20" s="16">
        <f t="shared" si="5"/>
        <v>0</v>
      </c>
      <c r="AO20" s="16">
        <f t="shared" si="5"/>
        <v>0</v>
      </c>
      <c r="AP20" s="16">
        <f t="shared" si="5"/>
        <v>0.66666666666666663</v>
      </c>
      <c r="AQ20" s="16">
        <f t="shared" si="5"/>
        <v>0</v>
      </c>
      <c r="AR20" s="16">
        <f t="shared" si="5"/>
        <v>0</v>
      </c>
      <c r="AS20" s="16">
        <f t="shared" si="5"/>
        <v>0</v>
      </c>
      <c r="AT20" s="37">
        <f t="shared" ref="AT20:DA20" si="6">AT19/AT17</f>
        <v>0</v>
      </c>
      <c r="AU20" s="37">
        <f t="shared" si="6"/>
        <v>0</v>
      </c>
      <c r="AV20" s="37">
        <f t="shared" si="6"/>
        <v>0</v>
      </c>
      <c r="AW20" s="37">
        <f t="shared" si="6"/>
        <v>0</v>
      </c>
      <c r="AX20" s="37">
        <f t="shared" si="6"/>
        <v>0</v>
      </c>
      <c r="AY20" s="37">
        <f t="shared" si="6"/>
        <v>0</v>
      </c>
      <c r="AZ20" s="37">
        <f t="shared" si="6"/>
        <v>0</v>
      </c>
      <c r="BA20" s="37">
        <f t="shared" si="6"/>
        <v>0</v>
      </c>
      <c r="BB20" s="37">
        <f t="shared" si="6"/>
        <v>0</v>
      </c>
      <c r="BC20" s="37">
        <f t="shared" ref="BC20" si="7">BC19/BC17</f>
        <v>0</v>
      </c>
      <c r="BD20" s="16">
        <f t="shared" ref="BD20:BI20" si="8">BD19/BD17</f>
        <v>0</v>
      </c>
      <c r="BE20" s="16">
        <f t="shared" si="8"/>
        <v>0</v>
      </c>
      <c r="BF20" s="16">
        <f t="shared" si="8"/>
        <v>0</v>
      </c>
      <c r="BG20" s="16">
        <f t="shared" si="8"/>
        <v>0</v>
      </c>
      <c r="BH20" s="16">
        <f t="shared" si="8"/>
        <v>0</v>
      </c>
      <c r="BI20" s="16">
        <f t="shared" si="8"/>
        <v>0</v>
      </c>
      <c r="BJ20" s="16">
        <f t="shared" si="6"/>
        <v>0</v>
      </c>
      <c r="BK20" s="16">
        <f t="shared" si="6"/>
        <v>0</v>
      </c>
      <c r="BL20" s="16">
        <f t="shared" si="6"/>
        <v>0</v>
      </c>
      <c r="BM20" s="16">
        <f t="shared" si="6"/>
        <v>0</v>
      </c>
      <c r="BN20" s="16">
        <f t="shared" si="6"/>
        <v>0</v>
      </c>
      <c r="BO20" s="16">
        <f t="shared" si="6"/>
        <v>0</v>
      </c>
      <c r="BP20" s="16">
        <f t="shared" si="6"/>
        <v>0</v>
      </c>
      <c r="BQ20" s="16">
        <f t="shared" si="6"/>
        <v>0</v>
      </c>
      <c r="BR20" s="16">
        <f t="shared" si="6"/>
        <v>0</v>
      </c>
      <c r="BS20" s="16">
        <f t="shared" si="6"/>
        <v>0.33333333333333331</v>
      </c>
      <c r="BT20" s="16">
        <f t="shared" si="6"/>
        <v>0</v>
      </c>
      <c r="BU20" s="16">
        <f t="shared" si="6"/>
        <v>0</v>
      </c>
      <c r="BV20" s="16">
        <f t="shared" si="6"/>
        <v>0</v>
      </c>
      <c r="BW20" s="16">
        <f t="shared" si="6"/>
        <v>0</v>
      </c>
      <c r="BX20" s="16">
        <f t="shared" si="6"/>
        <v>0</v>
      </c>
      <c r="BY20" s="16">
        <f t="shared" si="6"/>
        <v>0</v>
      </c>
      <c r="BZ20" s="16">
        <f t="shared" si="6"/>
        <v>0</v>
      </c>
      <c r="CA20" s="16">
        <f t="shared" si="6"/>
        <v>0</v>
      </c>
      <c r="CB20" s="16">
        <f t="shared" si="6"/>
        <v>0</v>
      </c>
      <c r="CC20" s="16">
        <f t="shared" si="6"/>
        <v>0</v>
      </c>
      <c r="CD20" s="16">
        <f t="shared" si="6"/>
        <v>0</v>
      </c>
      <c r="CE20" s="16">
        <f t="shared" si="6"/>
        <v>0</v>
      </c>
      <c r="CF20" s="16">
        <f t="shared" si="6"/>
        <v>0</v>
      </c>
      <c r="CG20" s="16">
        <f t="shared" si="6"/>
        <v>0</v>
      </c>
      <c r="CH20" s="16">
        <f t="shared" si="6"/>
        <v>0</v>
      </c>
      <c r="CI20" s="16"/>
      <c r="CJ20" s="16">
        <f t="shared" si="6"/>
        <v>0</v>
      </c>
      <c r="CK20" s="16">
        <f t="shared" si="6"/>
        <v>0</v>
      </c>
      <c r="CL20" s="16">
        <f t="shared" si="6"/>
        <v>0</v>
      </c>
      <c r="CM20" s="16">
        <f t="shared" si="6"/>
        <v>0</v>
      </c>
      <c r="CN20" s="16">
        <f t="shared" si="6"/>
        <v>0</v>
      </c>
      <c r="CO20" s="16">
        <f t="shared" si="6"/>
        <v>0</v>
      </c>
      <c r="CP20" s="16">
        <f t="shared" si="6"/>
        <v>0</v>
      </c>
      <c r="CQ20" s="16">
        <f t="shared" si="6"/>
        <v>0</v>
      </c>
      <c r="CR20" s="16">
        <f t="shared" si="6"/>
        <v>0</v>
      </c>
      <c r="CS20" s="16" t="e">
        <f t="shared" ref="CS20" si="9">CS19/CS17</f>
        <v>#DIV/0!</v>
      </c>
      <c r="CT20" s="16">
        <f t="shared" si="6"/>
        <v>0</v>
      </c>
      <c r="CU20" s="16">
        <f t="shared" si="6"/>
        <v>0</v>
      </c>
      <c r="CV20" s="16">
        <f t="shared" si="6"/>
        <v>0</v>
      </c>
      <c r="CW20" s="16">
        <f t="shared" si="6"/>
        <v>0</v>
      </c>
      <c r="CX20" s="16">
        <f t="shared" si="6"/>
        <v>0</v>
      </c>
      <c r="CY20" s="16">
        <f t="shared" si="6"/>
        <v>0</v>
      </c>
      <c r="CZ20" s="16">
        <f t="shared" si="6"/>
        <v>0</v>
      </c>
      <c r="DA20" s="16">
        <f t="shared" si="6"/>
        <v>0</v>
      </c>
      <c r="DB20" s="16">
        <f t="shared" ref="DB20:DU20" si="10">DB19/DB17</f>
        <v>0</v>
      </c>
      <c r="DC20" s="16">
        <f t="shared" si="10"/>
        <v>0</v>
      </c>
      <c r="DD20" s="16">
        <f t="shared" si="10"/>
        <v>0</v>
      </c>
      <c r="DE20" s="16">
        <f t="shared" si="10"/>
        <v>0</v>
      </c>
      <c r="DF20" s="16">
        <f t="shared" si="10"/>
        <v>0</v>
      </c>
      <c r="DG20" s="16">
        <f t="shared" si="10"/>
        <v>0</v>
      </c>
      <c r="DH20" s="16">
        <f t="shared" si="10"/>
        <v>0</v>
      </c>
      <c r="DI20" s="16">
        <f t="shared" si="10"/>
        <v>0</v>
      </c>
      <c r="DJ20" s="16">
        <f t="shared" si="10"/>
        <v>0</v>
      </c>
      <c r="DK20" s="16">
        <f t="shared" si="10"/>
        <v>0</v>
      </c>
      <c r="DL20" s="16">
        <f t="shared" si="10"/>
        <v>0</v>
      </c>
      <c r="DM20" s="16">
        <f t="shared" si="10"/>
        <v>0</v>
      </c>
      <c r="DN20" s="16">
        <f t="shared" si="10"/>
        <v>0</v>
      </c>
      <c r="DO20" s="16">
        <f t="shared" ref="DO20:DS20" si="11">DO19/DO17</f>
        <v>0</v>
      </c>
      <c r="DP20" s="16">
        <f t="shared" si="11"/>
        <v>0</v>
      </c>
      <c r="DQ20" s="16">
        <f t="shared" si="11"/>
        <v>0</v>
      </c>
      <c r="DR20" s="16">
        <f t="shared" si="11"/>
        <v>0</v>
      </c>
      <c r="DS20" s="16">
        <f t="shared" si="11"/>
        <v>0</v>
      </c>
      <c r="DT20" s="16">
        <f t="shared" si="10"/>
        <v>0</v>
      </c>
      <c r="DU20" s="16">
        <f t="shared" si="10"/>
        <v>0</v>
      </c>
      <c r="DV20" s="57"/>
      <c r="DW20" s="17" t="e">
        <f>DW19/DW17</f>
        <v>#DIV/0!</v>
      </c>
      <c r="DX20" s="17" t="e">
        <f>DX19/DX17</f>
        <v>#DIV/0!</v>
      </c>
      <c r="DY20" s="17" t="e">
        <f t="shared" ref="DY20:DZ20" si="12">DY19/DY17</f>
        <v>#DIV/0!</v>
      </c>
      <c r="DZ20" s="17" t="e">
        <f t="shared" si="12"/>
        <v>#DIV/0!</v>
      </c>
      <c r="EA20" s="94"/>
      <c r="EB20" s="16" t="e">
        <f>EB19/EB17</f>
        <v>#DIV/0!</v>
      </c>
      <c r="EC20" s="16" t="e">
        <f t="shared" ref="EC20:EH20" si="13">EC19/EC17</f>
        <v>#DIV/0!</v>
      </c>
      <c r="ED20" s="16" t="e">
        <f t="shared" si="13"/>
        <v>#DIV/0!</v>
      </c>
      <c r="EE20" s="16" t="e">
        <f t="shared" si="13"/>
        <v>#DIV/0!</v>
      </c>
      <c r="EF20" s="16">
        <f t="shared" si="13"/>
        <v>0</v>
      </c>
      <c r="EG20" s="16">
        <f t="shared" si="13"/>
        <v>0</v>
      </c>
      <c r="EH20" s="16">
        <f t="shared" si="13"/>
        <v>0</v>
      </c>
      <c r="EI20" s="16" t="e">
        <f>EI19/EI17</f>
        <v>#DIV/0!</v>
      </c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</row>
    <row r="21" spans="2:198">
      <c r="AK21" s="6"/>
      <c r="AL21" s="6"/>
      <c r="AM21" s="6"/>
      <c r="AQ21" s="6"/>
      <c r="AT21" s="38"/>
      <c r="AU21" s="38"/>
      <c r="AV21" s="38"/>
      <c r="AW21" s="38"/>
      <c r="AZ21" s="38"/>
      <c r="BA21" s="38"/>
      <c r="BB21" s="38"/>
      <c r="BC21" s="38"/>
      <c r="BD21" s="6"/>
      <c r="BE21" s="6"/>
      <c r="BF21" s="6"/>
      <c r="BG21" s="6"/>
      <c r="BH21" s="6"/>
      <c r="BJ21" s="6"/>
      <c r="BK21" s="6"/>
      <c r="BL21" s="6"/>
      <c r="BM21" s="6"/>
      <c r="BN21" s="6"/>
      <c r="BO21" s="2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2"/>
      <c r="CH21" s="6"/>
      <c r="CI21" s="6"/>
      <c r="CJ21" s="6"/>
      <c r="CK21" s="2"/>
      <c r="CL21" s="2"/>
      <c r="CM21" s="6"/>
      <c r="CN21" s="6"/>
      <c r="CO21" s="6"/>
      <c r="CP21" s="2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2"/>
      <c r="DF21" s="6"/>
      <c r="DG21" s="6"/>
      <c r="DH21" s="6"/>
      <c r="DI21" s="6"/>
      <c r="DJ21" s="2"/>
      <c r="DK21" s="6"/>
      <c r="DL21" s="6"/>
      <c r="DM21" s="6"/>
      <c r="DN21" s="6"/>
      <c r="DO21" s="6"/>
      <c r="DP21" s="6"/>
      <c r="DQ21" s="6"/>
      <c r="DR21" s="6"/>
      <c r="DS21" s="6"/>
      <c r="DT21" s="2"/>
      <c r="DU21" s="6"/>
      <c r="DW21" s="2"/>
      <c r="DX21" s="2"/>
      <c r="DY21" s="2"/>
      <c r="DZ21" s="2"/>
      <c r="EA21" s="95"/>
    </row>
    <row r="22" spans="2:198">
      <c r="AF22" s="39"/>
      <c r="AN22" s="32"/>
      <c r="AO22" s="32"/>
      <c r="AP22" s="32"/>
      <c r="AR22" s="32"/>
      <c r="AS22" s="32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2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2"/>
      <c r="CF22" s="3"/>
      <c r="CG22" s="3"/>
      <c r="CH22" s="2"/>
      <c r="CI22" s="2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2"/>
      <c r="DN22" s="2"/>
      <c r="DO22" s="2"/>
      <c r="DP22" s="2"/>
      <c r="DQ22" s="2"/>
      <c r="DR22" s="2"/>
      <c r="DS22" s="2"/>
      <c r="DT22" s="2"/>
      <c r="DU22" s="2"/>
      <c r="DX22" s="12"/>
    </row>
    <row r="23" spans="2:198">
      <c r="C23" s="60" t="s">
        <v>245</v>
      </c>
      <c r="D23" s="61" t="s">
        <v>246</v>
      </c>
      <c r="T23" s="6"/>
      <c r="AD23" s="32"/>
      <c r="AF23" s="39"/>
      <c r="AL23" s="32"/>
      <c r="AM23" s="32"/>
      <c r="AN23" s="32"/>
      <c r="AO23" s="32"/>
      <c r="AP23" s="32"/>
      <c r="AQ23" s="32"/>
      <c r="AR23" s="32"/>
      <c r="AT23" s="39"/>
      <c r="AU23" s="39"/>
      <c r="AV23" s="39"/>
      <c r="AW23" s="39"/>
      <c r="AX23" s="39"/>
      <c r="AZ23" s="39"/>
      <c r="BA23" s="39"/>
      <c r="BB23" s="39"/>
      <c r="BC23" s="39"/>
      <c r="BD23" s="34"/>
      <c r="BG23" s="34"/>
      <c r="BI23" s="32"/>
      <c r="BJ23" s="3"/>
      <c r="BK23" s="3"/>
      <c r="BL23" s="3"/>
      <c r="BM23" s="3"/>
      <c r="BN23" s="3"/>
      <c r="BO23" s="3"/>
      <c r="BP23" s="2"/>
      <c r="BQ23" s="3"/>
      <c r="BR23" s="3"/>
      <c r="BS23" s="3"/>
      <c r="BT23" s="3"/>
      <c r="BU23" s="3"/>
      <c r="BV23" s="3"/>
      <c r="BW23" s="3"/>
      <c r="BX23" s="3"/>
      <c r="BY23" s="2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E23" s="12"/>
    </row>
    <row r="24" spans="2:198">
      <c r="B24" s="62"/>
      <c r="C24" s="62" t="s">
        <v>247</v>
      </c>
      <c r="D24" s="63">
        <v>0</v>
      </c>
      <c r="X24" s="6"/>
      <c r="AC24" s="34"/>
      <c r="AG24" s="33"/>
      <c r="AH24" s="33"/>
      <c r="AI24" s="33"/>
      <c r="AJ24" s="33"/>
      <c r="AM24" s="6"/>
      <c r="AP24" s="6"/>
      <c r="AT24" s="38"/>
      <c r="AV24" s="38"/>
      <c r="AW24" s="38"/>
      <c r="AX24" s="38"/>
      <c r="AY24" s="38"/>
      <c r="AZ24" s="38"/>
      <c r="BA24" s="38"/>
      <c r="BD24" s="34"/>
      <c r="BF24" s="6"/>
      <c r="BJ24" s="4"/>
      <c r="BK24" s="2"/>
      <c r="BL24" s="4"/>
      <c r="BM24" s="4"/>
      <c r="BN24" s="4"/>
      <c r="BO24" s="4"/>
      <c r="BP24" s="4"/>
      <c r="BQ24" s="4"/>
      <c r="BR24" s="4"/>
      <c r="BS24" s="3"/>
      <c r="BT24" s="4"/>
      <c r="BU24" s="4"/>
      <c r="BV24" s="4"/>
      <c r="BW24" s="4"/>
      <c r="BX24" s="4"/>
      <c r="BY24" s="4"/>
      <c r="BZ24" s="4"/>
      <c r="CA24" s="4"/>
      <c r="CB24" s="2"/>
      <c r="CC24" s="2"/>
      <c r="CD24" s="4"/>
      <c r="CE24" s="2"/>
      <c r="CF24" s="2"/>
      <c r="CG24" s="4"/>
      <c r="CH24" s="4"/>
      <c r="CI24" s="4"/>
      <c r="CJ24" s="2"/>
      <c r="CK24" s="4"/>
      <c r="CL24" s="4"/>
      <c r="CM24" s="4"/>
      <c r="CN24" s="4"/>
      <c r="CO24" s="2"/>
      <c r="CP24" s="2"/>
      <c r="CQ24" s="5"/>
      <c r="CR24" s="5"/>
      <c r="CS24" s="5"/>
      <c r="CT24" s="5"/>
      <c r="CU24" s="2"/>
      <c r="CV24" s="2"/>
      <c r="CW24" s="5"/>
      <c r="CX24" s="5"/>
      <c r="CY24" s="5"/>
      <c r="CZ24" s="5"/>
      <c r="DA24" s="5"/>
      <c r="DB24" s="5"/>
      <c r="DC24" s="2"/>
      <c r="DD24" s="5"/>
      <c r="DE24" s="5"/>
      <c r="DF24" s="2"/>
      <c r="DG24" s="2"/>
      <c r="DH24" s="5"/>
      <c r="DI24" s="5"/>
      <c r="DJ24" s="2"/>
      <c r="DK24" s="2"/>
      <c r="DL24" s="2"/>
      <c r="DM24" s="2"/>
      <c r="DU24" s="12"/>
    </row>
    <row r="25" spans="2:198">
      <c r="B25" s="62"/>
      <c r="C25" s="62" t="s">
        <v>248</v>
      </c>
      <c r="D25" s="63">
        <v>1</v>
      </c>
      <c r="AG25" s="7"/>
      <c r="AH25" s="7"/>
      <c r="AI25" s="7"/>
      <c r="AJ25" s="7"/>
      <c r="BD25" s="34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2"/>
      <c r="CP25" s="2"/>
      <c r="CQ25" s="2"/>
      <c r="CR25" s="2"/>
      <c r="CS25" s="2"/>
      <c r="CT25" s="7"/>
      <c r="CU25" s="2"/>
      <c r="CV25" s="7"/>
      <c r="CW25" s="2"/>
      <c r="CX25" s="7"/>
      <c r="CY25" s="7"/>
      <c r="CZ25" s="7"/>
      <c r="DA25" s="7"/>
      <c r="DB25" s="7"/>
      <c r="DC25" s="7"/>
      <c r="DD25" s="7"/>
      <c r="DE25" s="7"/>
      <c r="DF25" s="7"/>
      <c r="DG25" s="2"/>
      <c r="DH25" s="7"/>
      <c r="DI25" s="7"/>
      <c r="DJ25" s="7"/>
      <c r="DK25" s="7"/>
      <c r="DL25" s="7"/>
      <c r="DM25" s="7"/>
      <c r="DU25" s="12"/>
    </row>
    <row r="26" spans="2:198">
      <c r="B26" s="62"/>
      <c r="C26" s="62" t="s">
        <v>249</v>
      </c>
      <c r="D26" s="63">
        <v>2</v>
      </c>
      <c r="X26" s="6"/>
      <c r="AC26" s="6"/>
      <c r="AF26" s="38"/>
      <c r="AG26" s="33"/>
      <c r="AH26" s="33"/>
      <c r="AI26" s="33"/>
      <c r="AJ26" s="33"/>
      <c r="AL26" s="6"/>
      <c r="AM26" s="6"/>
      <c r="AO26" s="6"/>
      <c r="AP26" s="6"/>
      <c r="AS26" s="6"/>
      <c r="AT26" s="38"/>
      <c r="AU26" s="38"/>
      <c r="AV26" s="38"/>
      <c r="AW26" s="38"/>
      <c r="AX26" s="38"/>
      <c r="AY26" s="38"/>
      <c r="AZ26" s="38"/>
      <c r="BA26" s="38"/>
      <c r="BD26" s="34"/>
      <c r="BF26" s="6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2"/>
      <c r="CC26" s="2"/>
      <c r="CD26" s="4"/>
      <c r="CE26" s="2"/>
      <c r="CF26" s="2"/>
      <c r="CG26" s="2"/>
      <c r="CH26" s="4"/>
      <c r="CI26" s="4"/>
      <c r="CJ26" s="2"/>
      <c r="CK26" s="4"/>
      <c r="CL26" s="4"/>
      <c r="CM26" s="4"/>
      <c r="CN26" s="4"/>
      <c r="CO26" s="4"/>
      <c r="CP26" s="4"/>
      <c r="CQ26" s="2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2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U26" s="12"/>
    </row>
    <row r="27" spans="2:198">
      <c r="B27" s="62"/>
      <c r="C27" s="62" t="s">
        <v>250</v>
      </c>
      <c r="D27" s="63">
        <v>3</v>
      </c>
      <c r="BD27" s="34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U27" s="12"/>
    </row>
    <row r="28" spans="2:198">
      <c r="B28" s="62"/>
      <c r="C28" s="62" t="s">
        <v>251</v>
      </c>
      <c r="D28" s="63">
        <v>4</v>
      </c>
      <c r="BD28" s="34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U28" s="12"/>
    </row>
    <row r="29" spans="2:198">
      <c r="B29" s="62"/>
      <c r="C29" s="62" t="s">
        <v>252</v>
      </c>
      <c r="D29" s="63">
        <v>5</v>
      </c>
      <c r="AQ29" s="7">
        <v>5</v>
      </c>
    </row>
    <row r="30" spans="2:198">
      <c r="B30" s="62"/>
      <c r="C30" s="64"/>
      <c r="D30" s="65"/>
      <c r="AM30" s="6"/>
      <c r="AU30" s="38"/>
      <c r="BD30" s="34"/>
      <c r="BE30" s="6"/>
      <c r="BG30" s="6"/>
      <c r="BH30" s="6"/>
      <c r="BI30" s="6"/>
      <c r="BJ30" s="2"/>
      <c r="BK30" s="2"/>
      <c r="BL30" s="2"/>
      <c r="BM30" s="2"/>
      <c r="BN30" s="4"/>
      <c r="BO30" s="2"/>
      <c r="BP30" s="2"/>
      <c r="BQ30" s="4"/>
      <c r="BR30" s="2"/>
      <c r="BS30" s="4"/>
      <c r="BT30" s="4"/>
      <c r="BU30" s="4"/>
      <c r="BV30" s="4"/>
      <c r="BW30" s="2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2"/>
      <c r="CL30" s="4"/>
      <c r="CM30" s="4"/>
      <c r="CN30" s="2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2"/>
      <c r="DU30" s="4"/>
      <c r="DW30" s="2"/>
      <c r="DX30" s="2"/>
      <c r="DY30" s="2"/>
      <c r="DZ30" s="2"/>
      <c r="EA30" s="95"/>
    </row>
    <row r="31" spans="2:198">
      <c r="B31" s="62"/>
      <c r="AE31" s="6"/>
      <c r="AK31" s="6"/>
      <c r="AL31" s="6"/>
      <c r="AM31" s="6"/>
      <c r="BD31" s="6"/>
      <c r="BF31" s="6"/>
      <c r="BG31" s="6"/>
      <c r="BH31" s="6"/>
      <c r="BI31" s="6"/>
      <c r="BJ31" s="4"/>
      <c r="BK31" s="4"/>
      <c r="BL31" s="4"/>
      <c r="BM31" s="4"/>
      <c r="BN31" s="4"/>
      <c r="BO31" s="2"/>
      <c r="BP31" s="4"/>
      <c r="BQ31" s="3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2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2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W31" s="4"/>
      <c r="DX31" s="4"/>
      <c r="DY31" s="4"/>
      <c r="DZ31" s="4"/>
      <c r="EA31" s="96"/>
    </row>
    <row r="32" spans="2:198">
      <c r="B32" s="62"/>
      <c r="C32" s="60" t="s">
        <v>253</v>
      </c>
      <c r="D32" s="61" t="s">
        <v>246</v>
      </c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W32" s="2"/>
      <c r="DX32" s="2"/>
      <c r="DY32" s="2"/>
      <c r="DZ32" s="2"/>
      <c r="EA32" s="95"/>
    </row>
    <row r="33" spans="2:131">
      <c r="B33" s="62"/>
      <c r="C33" s="62" t="s">
        <v>247</v>
      </c>
      <c r="D33" s="63">
        <v>0</v>
      </c>
      <c r="BJ33" s="7"/>
      <c r="BK33" s="7"/>
      <c r="BL33" s="7"/>
      <c r="BM33" s="7"/>
      <c r="BN33" s="7"/>
      <c r="BO33" s="2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2"/>
      <c r="CO33" s="7"/>
      <c r="CP33" s="2"/>
      <c r="CQ33" s="2"/>
      <c r="CR33" s="7"/>
      <c r="CS33" s="7"/>
      <c r="CT33" s="2"/>
      <c r="CU33" s="7"/>
      <c r="CV33" s="7"/>
      <c r="CW33" s="7"/>
      <c r="CX33" s="2"/>
      <c r="CY33" s="2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2"/>
      <c r="DL33" s="7"/>
      <c r="DM33" s="7"/>
      <c r="DN33" s="8"/>
      <c r="DO33" s="8"/>
      <c r="DP33" s="8"/>
      <c r="DQ33" s="8"/>
      <c r="DR33" s="8"/>
      <c r="DS33" s="8"/>
      <c r="DT33" s="2"/>
      <c r="DU33" s="7"/>
      <c r="DW33" s="7"/>
      <c r="DX33" s="7"/>
      <c r="DY33" s="7"/>
      <c r="DZ33" s="7"/>
    </row>
    <row r="34" spans="2:131">
      <c r="B34" s="62"/>
      <c r="C34" s="62" t="s">
        <v>254</v>
      </c>
      <c r="D34" s="63">
        <v>1</v>
      </c>
      <c r="DW34" s="2"/>
      <c r="DX34" s="2"/>
      <c r="DY34" s="2"/>
      <c r="DZ34" s="2"/>
      <c r="EA34" s="95"/>
    </row>
    <row r="35" spans="2:131">
      <c r="B35" s="62"/>
      <c r="C35" s="62" t="s">
        <v>255</v>
      </c>
      <c r="D35" s="63">
        <v>2</v>
      </c>
      <c r="U35" s="6"/>
      <c r="AB35" s="6"/>
      <c r="AC35" s="6"/>
      <c r="AF35" s="38"/>
      <c r="AK35" s="6"/>
      <c r="AL35" s="6"/>
      <c r="AM35" s="6"/>
      <c r="AS35" s="6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2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2"/>
      <c r="CI35" s="2"/>
      <c r="CJ35" s="6"/>
      <c r="CK35" s="6"/>
      <c r="CL35" s="6"/>
      <c r="CM35" s="6"/>
      <c r="CN35" s="2"/>
      <c r="CO35" s="6"/>
      <c r="CP35" s="6"/>
      <c r="CQ35" s="2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2"/>
      <c r="DU35" s="6"/>
      <c r="DW35" s="6"/>
      <c r="DX35" s="6"/>
      <c r="DY35" s="6"/>
      <c r="DZ35" s="6"/>
      <c r="EA35" s="19"/>
    </row>
    <row r="36" spans="2:131">
      <c r="B36" s="62"/>
      <c r="C36" s="62" t="s">
        <v>256</v>
      </c>
      <c r="D36" s="63">
        <v>3</v>
      </c>
      <c r="AK36" s="6"/>
      <c r="AM36" s="6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W36" s="2"/>
      <c r="DX36" s="2"/>
      <c r="DY36" s="2"/>
      <c r="DZ36" s="2"/>
      <c r="EA36" s="95"/>
    </row>
    <row r="37" spans="2:131">
      <c r="B37" s="62"/>
      <c r="C37" s="62" t="s">
        <v>257</v>
      </c>
      <c r="D37" s="63">
        <v>5</v>
      </c>
      <c r="W37" s="9"/>
      <c r="AF37" s="38"/>
      <c r="AK37" s="6"/>
      <c r="AL37" s="6"/>
      <c r="AM37" s="6"/>
      <c r="AO37" s="6"/>
      <c r="AQ37" s="6"/>
      <c r="AS37" s="6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E37" s="6"/>
      <c r="BF37" s="6"/>
      <c r="BJ37" s="6"/>
      <c r="BK37" s="6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W37" s="2"/>
      <c r="DX37" s="2"/>
      <c r="DY37" s="2"/>
      <c r="DZ37" s="2"/>
      <c r="EA37" s="95"/>
    </row>
    <row r="38" spans="2:131">
      <c r="B38" s="62"/>
      <c r="C38" s="64"/>
      <c r="D38" s="65"/>
      <c r="W38" s="9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W38" s="2"/>
      <c r="DX38" s="2"/>
      <c r="DY38" s="2"/>
      <c r="DZ38" s="2"/>
      <c r="EA38" s="95"/>
    </row>
    <row r="39" spans="2:131">
      <c r="B39" s="62"/>
      <c r="U39" s="6"/>
      <c r="V39" s="32"/>
      <c r="W39" s="9"/>
      <c r="X39" s="6"/>
      <c r="AB39" s="6"/>
      <c r="AC39" s="6"/>
      <c r="AD39" s="6"/>
      <c r="AE39" s="32"/>
      <c r="AF39" s="38"/>
      <c r="AK39" s="6"/>
      <c r="AL39" s="6"/>
      <c r="AM39" s="32"/>
      <c r="AN39" s="6"/>
      <c r="AP39" s="6"/>
      <c r="AQ39" s="6"/>
      <c r="AR39" s="32"/>
      <c r="AT39" s="39"/>
      <c r="AU39" s="39"/>
      <c r="AV39" s="38"/>
      <c r="AW39" s="38"/>
      <c r="AX39" s="38"/>
      <c r="AY39" s="38"/>
      <c r="AZ39" s="38"/>
      <c r="BA39" s="39"/>
      <c r="BB39" s="39"/>
      <c r="BC39" s="39"/>
      <c r="BD39" s="35"/>
      <c r="BE39" s="32"/>
      <c r="BG39" s="32"/>
      <c r="BH39" s="32"/>
      <c r="BI39" s="32"/>
      <c r="BJ39" s="2"/>
      <c r="BK39" s="2"/>
      <c r="BL39" s="2"/>
      <c r="BM39" s="2"/>
      <c r="BN39" s="2"/>
      <c r="BO39" s="4"/>
      <c r="BP39" s="3"/>
      <c r="BQ39" s="3"/>
      <c r="BR39" s="4"/>
      <c r="BS39" s="3"/>
      <c r="BT39" s="4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2"/>
      <c r="CL39" s="2"/>
      <c r="CM39" s="3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4"/>
      <c r="DD39" s="3"/>
      <c r="DE39" s="4"/>
      <c r="DF39" s="3"/>
      <c r="DG39" s="3"/>
      <c r="DH39" s="3"/>
      <c r="DI39" s="3"/>
      <c r="DJ39" s="3"/>
      <c r="DK39" s="3"/>
      <c r="DL39" s="3"/>
      <c r="DM39" s="3"/>
      <c r="DN39" s="4"/>
      <c r="DO39" s="4"/>
      <c r="DP39" s="4"/>
      <c r="DQ39" s="4"/>
      <c r="DR39" s="4"/>
      <c r="DS39" s="4"/>
      <c r="DT39" s="4"/>
      <c r="DU39" s="4"/>
      <c r="DW39" s="4"/>
      <c r="DX39" s="4"/>
      <c r="DY39" s="4"/>
      <c r="DZ39" s="4"/>
      <c r="EA39" s="96"/>
    </row>
    <row r="40" spans="2:131">
      <c r="C40" s="60" t="s">
        <v>258</v>
      </c>
      <c r="D40" s="66" t="s">
        <v>246</v>
      </c>
      <c r="U40" s="6"/>
      <c r="W40" s="9"/>
      <c r="AB40" s="6"/>
      <c r="AC40" s="6"/>
      <c r="AE40" s="6"/>
      <c r="BJ40" s="7"/>
      <c r="BK40" s="7"/>
      <c r="BL40" s="7"/>
      <c r="BM40" s="7"/>
      <c r="BN40" s="7"/>
      <c r="BO40" s="2"/>
      <c r="BP40" s="2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4"/>
      <c r="CI40" s="4"/>
      <c r="CJ40" s="2"/>
      <c r="CK40" s="2"/>
      <c r="CL40" s="7"/>
      <c r="CM40" s="7"/>
      <c r="CN40" s="7"/>
      <c r="CO40" s="7"/>
      <c r="CP40" s="2"/>
      <c r="CQ40" s="7"/>
      <c r="CR40" s="7"/>
      <c r="CS40" s="7"/>
      <c r="CT40" s="7"/>
      <c r="CU40" s="7"/>
      <c r="CV40" s="7"/>
      <c r="CW40" s="7"/>
      <c r="CX40" s="7"/>
      <c r="CY40" s="7"/>
      <c r="CZ40" s="2"/>
      <c r="DA40" s="7"/>
      <c r="DB40" s="7"/>
      <c r="DC40" s="2"/>
      <c r="DD40" s="2"/>
      <c r="DE40" s="2"/>
      <c r="DF40" s="7"/>
      <c r="DG40" s="7"/>
      <c r="DH40" s="7"/>
      <c r="DI40" s="7"/>
      <c r="DJ40" s="2"/>
      <c r="DK40" s="2"/>
      <c r="DL40" s="7"/>
      <c r="DM40" s="7"/>
      <c r="DN40" s="7"/>
      <c r="DO40" s="7"/>
      <c r="DP40" s="7"/>
      <c r="DQ40" s="7"/>
      <c r="DR40" s="7"/>
      <c r="DS40" s="7"/>
      <c r="DT40" s="7"/>
      <c r="DU40" s="2"/>
      <c r="DW40" s="7"/>
      <c r="DX40" s="7"/>
      <c r="DY40" s="7"/>
      <c r="DZ40" s="7"/>
    </row>
    <row r="41" spans="2:131">
      <c r="B41" s="62"/>
      <c r="C41" s="62"/>
      <c r="D41" s="63">
        <v>0</v>
      </c>
      <c r="AK41" s="6"/>
      <c r="AL41" s="6"/>
      <c r="AM41" s="6"/>
      <c r="AQ41" s="6"/>
      <c r="AT41" s="38"/>
      <c r="AU41" s="38"/>
      <c r="AV41" s="38"/>
      <c r="AW41" s="38"/>
      <c r="AZ41" s="38"/>
      <c r="BA41" s="38"/>
      <c r="BD41" s="34"/>
      <c r="BE41" s="6"/>
      <c r="BF41" s="34"/>
      <c r="BG41" s="34"/>
      <c r="BH41" s="34"/>
      <c r="BI41" s="34"/>
      <c r="BJ41" s="5"/>
      <c r="BK41" s="5"/>
      <c r="BL41" s="5"/>
      <c r="BM41" s="5"/>
      <c r="BN41" s="5"/>
      <c r="BO41" s="2"/>
      <c r="BP41" s="5"/>
      <c r="BQ41" s="5"/>
      <c r="BR41" s="5"/>
      <c r="BS41" s="5"/>
      <c r="BT41" s="5"/>
      <c r="BU41" s="2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2"/>
      <c r="CL41" s="2"/>
      <c r="CM41" s="5"/>
      <c r="CN41" s="2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2"/>
      <c r="DE41" s="2"/>
      <c r="DF41" s="5"/>
      <c r="DG41" s="5"/>
      <c r="DH41" s="5"/>
      <c r="DI41" s="2"/>
      <c r="DJ41" s="2"/>
      <c r="DK41" s="2"/>
      <c r="DL41" s="5"/>
      <c r="DM41" s="5"/>
      <c r="DN41" s="5"/>
      <c r="DO41" s="5"/>
      <c r="DP41" s="5"/>
      <c r="DQ41" s="5"/>
      <c r="DR41" s="5"/>
      <c r="DS41" s="5"/>
      <c r="DT41" s="2"/>
      <c r="DU41" s="19"/>
      <c r="DW41" s="6"/>
      <c r="DX41" s="6"/>
      <c r="DY41" s="6"/>
      <c r="DZ41" s="6"/>
      <c r="EA41" s="19"/>
    </row>
    <row r="42" spans="2:131">
      <c r="B42" s="62"/>
      <c r="C42" s="62" t="s">
        <v>255</v>
      </c>
      <c r="D42" s="63">
        <v>1</v>
      </c>
      <c r="AK42" s="6"/>
      <c r="AL42" s="6"/>
      <c r="AM42" s="6"/>
      <c r="AQ42" s="6"/>
      <c r="AT42" s="38"/>
      <c r="AU42" s="38"/>
      <c r="AV42" s="38"/>
      <c r="AW42" s="38"/>
      <c r="AZ42" s="38"/>
      <c r="BA42" s="38"/>
      <c r="BD42" s="34"/>
      <c r="BE42" s="6"/>
      <c r="BF42" s="34"/>
      <c r="BG42" s="34"/>
      <c r="BH42" s="34"/>
      <c r="BI42" s="34"/>
      <c r="BJ42" s="5"/>
      <c r="BK42" s="5"/>
      <c r="BL42" s="5"/>
      <c r="BM42" s="5"/>
      <c r="BN42" s="5"/>
      <c r="BO42" s="2"/>
      <c r="BP42" s="5"/>
      <c r="BQ42" s="5"/>
      <c r="BR42" s="5"/>
      <c r="BS42" s="5"/>
      <c r="BT42" s="5"/>
      <c r="BU42" s="2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2"/>
      <c r="CL42" s="2"/>
      <c r="CM42" s="5"/>
      <c r="CN42" s="2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2"/>
      <c r="DE42" s="2"/>
      <c r="DF42" s="5"/>
      <c r="DG42" s="5"/>
      <c r="DH42" s="5"/>
      <c r="DI42" s="2"/>
      <c r="DJ42" s="2"/>
      <c r="DK42" s="2"/>
      <c r="DL42" s="5"/>
      <c r="DM42" s="5"/>
      <c r="DN42" s="5"/>
      <c r="DO42" s="5"/>
      <c r="DP42" s="5"/>
      <c r="DQ42" s="5"/>
      <c r="DR42" s="5"/>
      <c r="DS42" s="5"/>
      <c r="DT42" s="2"/>
      <c r="DU42" s="19"/>
      <c r="DW42" s="6"/>
      <c r="DX42" s="6"/>
      <c r="DY42" s="6"/>
      <c r="DZ42" s="6"/>
      <c r="EA42" s="19"/>
    </row>
    <row r="43" spans="2:131">
      <c r="B43" s="62"/>
      <c r="C43" s="62" t="s">
        <v>259</v>
      </c>
      <c r="D43" s="63">
        <v>2</v>
      </c>
      <c r="AK43" s="6"/>
      <c r="AM43" s="6"/>
      <c r="AP43" s="6"/>
      <c r="AU43" s="38"/>
      <c r="AW43" s="38"/>
      <c r="BA43" s="38"/>
      <c r="BD43" s="32"/>
      <c r="BE43" s="6"/>
      <c r="BF43" s="32"/>
      <c r="BG43" s="32"/>
      <c r="BI43" s="32"/>
      <c r="BJ43" s="3"/>
      <c r="BK43" s="3"/>
      <c r="BL43" s="3"/>
      <c r="BM43" s="3"/>
      <c r="BN43" s="3"/>
      <c r="BO43" s="2"/>
      <c r="BP43" s="3"/>
      <c r="BQ43" s="3"/>
      <c r="BR43" s="2"/>
      <c r="BS43" s="2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2"/>
      <c r="CH43" s="3"/>
      <c r="CI43" s="3"/>
      <c r="CJ43" s="3"/>
      <c r="CK43" s="2"/>
      <c r="CL43" s="2"/>
      <c r="CM43" s="3"/>
      <c r="CN43" s="2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2"/>
      <c r="DD43" s="2"/>
      <c r="DE43" s="2"/>
      <c r="DF43" s="3"/>
      <c r="DG43" s="3"/>
      <c r="DH43" s="3"/>
      <c r="DI43" s="2"/>
      <c r="DJ43" s="2"/>
      <c r="DK43" s="3"/>
      <c r="DL43" s="3"/>
      <c r="DM43" s="3"/>
      <c r="DN43" s="3"/>
      <c r="DO43" s="3"/>
      <c r="DP43" s="3"/>
      <c r="DQ43" s="3"/>
      <c r="DR43" s="3"/>
      <c r="DS43" s="3"/>
      <c r="DT43" s="2"/>
      <c r="DU43" s="2"/>
      <c r="DW43" s="2"/>
      <c r="DX43" s="2"/>
      <c r="DY43" s="2"/>
      <c r="DZ43" s="2"/>
      <c r="EA43" s="95"/>
    </row>
    <row r="44" spans="2:131">
      <c r="B44" s="62"/>
      <c r="C44" s="62" t="s">
        <v>260</v>
      </c>
      <c r="D44" s="63">
        <v>3</v>
      </c>
      <c r="U44" s="6"/>
      <c r="V44" s="6"/>
      <c r="W44" s="9"/>
      <c r="X44" s="6"/>
      <c r="AC44" s="6"/>
      <c r="AD44" s="6"/>
      <c r="AK44" s="6"/>
      <c r="AL44" s="6"/>
      <c r="AM44" s="6"/>
      <c r="AO44" s="6"/>
      <c r="AQ44" s="6"/>
      <c r="AS44" s="6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2"/>
      <c r="BP44" s="4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2"/>
      <c r="CO44" s="2"/>
      <c r="CP44" s="2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2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2"/>
      <c r="DU44" s="6"/>
      <c r="DW44" s="6"/>
      <c r="DX44" s="6"/>
      <c r="DY44" s="6"/>
      <c r="DZ44" s="6"/>
      <c r="EA44" s="19"/>
    </row>
    <row r="45" spans="2:131">
      <c r="B45" s="62"/>
      <c r="C45" s="62" t="s">
        <v>261</v>
      </c>
      <c r="D45" s="63">
        <v>4</v>
      </c>
      <c r="AP45" s="6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7"/>
      <c r="DL45" s="7"/>
      <c r="DM45" s="7"/>
      <c r="DU45" s="12"/>
      <c r="DW45" s="2"/>
      <c r="DX45" s="2"/>
      <c r="DY45" s="2"/>
      <c r="DZ45" s="2"/>
      <c r="EA45" s="95"/>
    </row>
    <row r="46" spans="2:131">
      <c r="B46" s="62"/>
      <c r="C46" s="62" t="s">
        <v>262</v>
      </c>
      <c r="D46" s="63">
        <v>5</v>
      </c>
      <c r="U46" s="6"/>
      <c r="V46" s="32"/>
      <c r="W46" s="9"/>
      <c r="X46" s="6"/>
      <c r="AB46" s="6"/>
      <c r="AC46" s="6"/>
      <c r="AD46" s="32"/>
      <c r="AE46" s="32"/>
      <c r="AF46" s="39"/>
      <c r="AK46" s="32"/>
      <c r="AL46" s="32"/>
      <c r="AM46" s="32"/>
      <c r="AN46" s="6"/>
      <c r="AO46" s="6"/>
      <c r="AP46" s="6"/>
      <c r="AQ46" s="32"/>
      <c r="AR46" s="32"/>
      <c r="AS46" s="6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2"/>
      <c r="BE46" s="32"/>
      <c r="BF46" s="32"/>
      <c r="BG46" s="32"/>
      <c r="BH46" s="32"/>
      <c r="BI46" s="32"/>
      <c r="BJ46" s="3"/>
      <c r="BK46" s="3"/>
      <c r="BL46" s="3"/>
      <c r="BM46" s="3"/>
      <c r="BN46" s="3"/>
      <c r="BO46" s="4"/>
      <c r="BP46" s="3"/>
      <c r="BQ46" s="3"/>
      <c r="BR46" s="4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4"/>
      <c r="DU46" s="3"/>
      <c r="DW46" s="3"/>
      <c r="DX46" s="3"/>
      <c r="DY46" s="3"/>
      <c r="DZ46" s="3"/>
      <c r="EA46" s="97"/>
    </row>
    <row r="47" spans="2:131" s="10" customFormat="1">
      <c r="B47" s="62"/>
      <c r="C47" s="64"/>
      <c r="D47" s="65"/>
      <c r="E47" s="7"/>
      <c r="G47" s="7"/>
      <c r="H47" s="7"/>
      <c r="I47" s="7"/>
      <c r="J47" s="7"/>
      <c r="K47" s="7"/>
      <c r="M47" s="1"/>
      <c r="N47" s="1"/>
      <c r="O47" s="1"/>
      <c r="P47" s="1"/>
      <c r="Q47" s="1"/>
      <c r="R47" s="1"/>
      <c r="S47" s="1"/>
      <c r="T47" s="7"/>
      <c r="U47" s="32"/>
      <c r="V47" s="6"/>
      <c r="W47" s="9"/>
      <c r="X47" s="6"/>
      <c r="Y47" s="1"/>
      <c r="Z47" s="1"/>
      <c r="AA47" s="1"/>
      <c r="AB47" s="6"/>
      <c r="AC47" s="32"/>
      <c r="AD47" s="32"/>
      <c r="AE47" s="32"/>
      <c r="AF47" s="39"/>
      <c r="AG47" s="1"/>
      <c r="AH47" s="1"/>
      <c r="AI47" s="1"/>
      <c r="AJ47" s="1"/>
      <c r="AK47" s="6"/>
      <c r="AL47" s="32"/>
      <c r="AM47" s="32"/>
      <c r="AN47" s="6"/>
      <c r="AO47" s="32"/>
      <c r="AP47" s="6"/>
      <c r="AQ47" s="6"/>
      <c r="AR47" s="32"/>
      <c r="AS47" s="32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2"/>
      <c r="BE47" s="32"/>
      <c r="BF47" s="32"/>
      <c r="BG47" s="32"/>
      <c r="BH47" s="32"/>
      <c r="BI47" s="32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W47" s="4"/>
      <c r="DX47" s="4"/>
      <c r="DY47" s="4"/>
      <c r="DZ47" s="4"/>
      <c r="EA47" s="96"/>
    </row>
    <row r="48" spans="2:131">
      <c r="B48" s="62"/>
      <c r="U48" s="6"/>
      <c r="V48" s="6"/>
      <c r="W48" s="9"/>
      <c r="X48" s="6"/>
      <c r="AB48" s="6"/>
      <c r="AC48" s="6"/>
      <c r="AD48" s="6"/>
      <c r="AE48" s="6"/>
      <c r="AF48" s="38"/>
      <c r="AK48" s="6"/>
      <c r="AL48" s="6"/>
      <c r="AM48" s="6"/>
      <c r="AN48" s="6"/>
      <c r="AO48" s="6"/>
      <c r="AP48" s="6"/>
      <c r="AQ48" s="6"/>
      <c r="AR48" s="6"/>
      <c r="AS48" s="6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6"/>
      <c r="BE48" s="6"/>
      <c r="BF48" s="6"/>
      <c r="BG48" s="6"/>
      <c r="BH48" s="6"/>
      <c r="BI48" s="6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W48" s="4"/>
      <c r="DX48" s="4"/>
      <c r="DY48" s="4"/>
      <c r="DZ48" s="4"/>
      <c r="EA48" s="96"/>
    </row>
    <row r="49" spans="2:131">
      <c r="B49" s="62"/>
      <c r="C49" s="60" t="s">
        <v>263</v>
      </c>
      <c r="D49" s="61" t="s">
        <v>246</v>
      </c>
      <c r="W49" s="9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W49" s="2"/>
      <c r="DX49" s="2"/>
      <c r="DY49" s="2"/>
      <c r="DZ49" s="2"/>
      <c r="EA49" s="95"/>
    </row>
    <row r="50" spans="2:131">
      <c r="B50" s="62"/>
      <c r="C50" s="62" t="s">
        <v>247</v>
      </c>
      <c r="D50" s="63">
        <v>0</v>
      </c>
      <c r="W50" s="10"/>
      <c r="Y50" s="10"/>
      <c r="Z50" s="10"/>
      <c r="AA50" s="10"/>
      <c r="AG50" s="10"/>
      <c r="AH50" s="10"/>
      <c r="AI50" s="10"/>
      <c r="AJ50" s="10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2"/>
      <c r="DU50" s="2"/>
      <c r="DW50" s="6"/>
      <c r="DX50" s="6"/>
      <c r="DY50" s="6"/>
      <c r="DZ50" s="6"/>
      <c r="EA50" s="19"/>
    </row>
    <row r="51" spans="2:131">
      <c r="B51" s="62"/>
      <c r="C51" s="62" t="s">
        <v>264</v>
      </c>
      <c r="D51" s="63">
        <v>3</v>
      </c>
      <c r="U51" s="6"/>
      <c r="V51" s="6"/>
      <c r="X51" s="6"/>
      <c r="AB51" s="6"/>
      <c r="AC51" s="6"/>
      <c r="AD51" s="6"/>
      <c r="AE51" s="6"/>
      <c r="AF51" s="39"/>
      <c r="AK51" s="32"/>
      <c r="AL51" s="32"/>
      <c r="AM51" s="32"/>
      <c r="AO51" s="32"/>
      <c r="AP51" s="6"/>
      <c r="AQ51" s="32"/>
      <c r="AR51" s="32"/>
      <c r="AS51" s="32"/>
      <c r="AT51" s="38"/>
      <c r="AU51" s="39"/>
      <c r="AV51" s="39"/>
      <c r="AW51" s="39"/>
      <c r="AX51" s="39"/>
      <c r="AY51" s="39"/>
      <c r="AZ51" s="38"/>
      <c r="BA51" s="39"/>
      <c r="BB51" s="39"/>
      <c r="BC51" s="39"/>
      <c r="BD51" s="32"/>
      <c r="BE51" s="32"/>
      <c r="BF51" s="32"/>
      <c r="BG51" s="32"/>
      <c r="BH51" s="32"/>
      <c r="BI51" s="32"/>
      <c r="BJ51" s="3"/>
      <c r="BK51" s="3"/>
      <c r="BL51" s="3"/>
      <c r="BM51" s="3"/>
      <c r="BN51" s="3"/>
      <c r="BO51" s="2"/>
      <c r="BP51" s="3"/>
      <c r="BQ51" s="3"/>
      <c r="BR51" s="4"/>
      <c r="BS51" s="4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4"/>
      <c r="CL51" s="4"/>
      <c r="CM51" s="3"/>
      <c r="CN51" s="4"/>
      <c r="CO51" s="3"/>
      <c r="CP51" s="3"/>
      <c r="CQ51" s="3"/>
      <c r="CR51" s="3"/>
      <c r="CS51" s="3"/>
      <c r="CT51" s="3"/>
      <c r="CU51" s="4"/>
      <c r="CV51" s="3"/>
      <c r="CW51" s="3"/>
      <c r="CX51" s="4"/>
      <c r="CY51" s="4"/>
      <c r="CZ51" s="3"/>
      <c r="DA51" s="3"/>
      <c r="DB51" s="3"/>
      <c r="DC51" s="3"/>
      <c r="DD51" s="3"/>
      <c r="DE51" s="4"/>
      <c r="DF51" s="3"/>
      <c r="DG51" s="3"/>
      <c r="DH51" s="3"/>
      <c r="DI51" s="4"/>
      <c r="DJ51" s="3"/>
      <c r="DK51" s="3"/>
      <c r="DL51" s="3"/>
      <c r="DM51" s="4"/>
      <c r="DN51" s="3"/>
      <c r="DO51" s="3"/>
      <c r="DP51" s="3"/>
      <c r="DQ51" s="3"/>
      <c r="DR51" s="3"/>
      <c r="DS51" s="3"/>
      <c r="DT51" s="4"/>
      <c r="DU51" s="4"/>
      <c r="DW51" s="4"/>
      <c r="DX51" s="4"/>
      <c r="DY51" s="4"/>
      <c r="DZ51" s="4"/>
      <c r="EA51" s="96"/>
    </row>
    <row r="52" spans="2:131">
      <c r="B52" s="62"/>
      <c r="C52" s="62" t="s">
        <v>265</v>
      </c>
      <c r="D52" s="63">
        <v>5</v>
      </c>
      <c r="BJ52" s="2"/>
      <c r="BK52" s="2"/>
      <c r="BL52" s="2"/>
      <c r="BM52" s="2"/>
      <c r="BN52" s="2"/>
      <c r="BO52" s="2"/>
      <c r="BP52" s="2"/>
      <c r="BQ52" s="2"/>
      <c r="BR52" s="4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W52" s="2"/>
      <c r="DX52" s="2"/>
      <c r="DY52" s="2"/>
      <c r="DZ52" s="2"/>
      <c r="EA52" s="95"/>
    </row>
    <row r="53" spans="2:131">
      <c r="B53" s="62"/>
      <c r="C53" s="62"/>
      <c r="D53" s="63"/>
      <c r="X53" s="6"/>
      <c r="AK53" s="32"/>
      <c r="AL53" s="32"/>
      <c r="AM53" s="32"/>
      <c r="AN53" s="6"/>
      <c r="AQ53" s="32"/>
      <c r="AR53" s="32"/>
      <c r="AS53" s="32"/>
      <c r="AT53" s="38"/>
      <c r="AU53" s="39"/>
      <c r="AW53" s="39"/>
      <c r="AX53" s="39"/>
      <c r="AY53" s="39"/>
      <c r="AZ53" s="39"/>
      <c r="BA53" s="39"/>
      <c r="BB53" s="39"/>
      <c r="BC53" s="39"/>
      <c r="BD53" s="32"/>
      <c r="BE53" s="32"/>
      <c r="BF53" s="32"/>
      <c r="BG53" s="32"/>
      <c r="BH53" s="32"/>
      <c r="BI53" s="32"/>
      <c r="BJ53" s="3"/>
      <c r="BK53" s="3"/>
      <c r="BL53" s="3"/>
      <c r="BM53" s="3"/>
      <c r="BN53" s="3"/>
      <c r="BO53" s="2"/>
      <c r="BP53" s="3"/>
      <c r="BQ53" s="3"/>
      <c r="BR53" s="4"/>
      <c r="BS53" s="4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4"/>
      <c r="CL53" s="4"/>
      <c r="CM53" s="3"/>
      <c r="CN53" s="2"/>
      <c r="CO53" s="3"/>
      <c r="CP53" s="3"/>
      <c r="CQ53" s="3"/>
      <c r="CR53" s="3"/>
      <c r="CS53" s="3"/>
      <c r="CT53" s="3"/>
      <c r="CU53" s="4"/>
      <c r="CV53" s="3"/>
      <c r="CW53" s="3"/>
      <c r="CX53" s="4"/>
      <c r="CY53" s="4"/>
      <c r="CZ53" s="3"/>
      <c r="DA53" s="3"/>
      <c r="DB53" s="3"/>
      <c r="DC53" s="3"/>
      <c r="DD53" s="3"/>
      <c r="DE53" s="4"/>
      <c r="DF53" s="3"/>
      <c r="DG53" s="3"/>
      <c r="DH53" s="3"/>
      <c r="DI53" s="4"/>
      <c r="DJ53" s="2"/>
      <c r="DK53" s="3"/>
      <c r="DL53" s="3"/>
      <c r="DM53" s="4"/>
      <c r="DN53" s="3"/>
      <c r="DO53" s="3"/>
      <c r="DP53" s="3"/>
      <c r="DQ53" s="3"/>
      <c r="DR53" s="3"/>
      <c r="DS53" s="3"/>
      <c r="DT53" s="4"/>
      <c r="DU53" s="4"/>
      <c r="DW53" s="4"/>
      <c r="DX53" s="4"/>
      <c r="DY53" s="4"/>
      <c r="DZ53" s="4"/>
      <c r="EA53" s="96"/>
    </row>
    <row r="54" spans="2:131">
      <c r="B54" s="62"/>
      <c r="C54" s="64"/>
      <c r="D54" s="65"/>
      <c r="U54" s="6"/>
      <c r="V54" s="6"/>
      <c r="X54" s="6"/>
      <c r="AB54" s="6"/>
      <c r="AC54" s="6"/>
      <c r="AD54" s="32"/>
      <c r="AE54" s="32"/>
      <c r="AF54" s="39"/>
      <c r="AK54" s="32"/>
      <c r="AL54" s="32"/>
      <c r="AM54" s="32"/>
      <c r="AN54" s="6"/>
      <c r="AO54" s="6"/>
      <c r="AP54" s="6"/>
      <c r="AQ54" s="6"/>
      <c r="AR54" s="32"/>
      <c r="AS54" s="6"/>
      <c r="AT54" s="38"/>
      <c r="AU54" s="39"/>
      <c r="AV54" s="39"/>
      <c r="AW54" s="39"/>
      <c r="AX54" s="39"/>
      <c r="AY54" s="39"/>
      <c r="AZ54" s="39"/>
      <c r="BA54" s="39"/>
      <c r="BB54" s="39"/>
      <c r="BC54" s="39"/>
      <c r="BD54" s="32"/>
      <c r="BE54" s="32"/>
      <c r="BF54" s="32"/>
      <c r="BG54" s="32"/>
      <c r="BH54" s="32"/>
      <c r="BI54" s="32"/>
      <c r="BJ54" s="3"/>
      <c r="BK54" s="3"/>
      <c r="BL54" s="3"/>
      <c r="BM54" s="3"/>
      <c r="BN54" s="3"/>
      <c r="BO54" s="2"/>
      <c r="BP54" s="3"/>
      <c r="BQ54" s="3"/>
      <c r="BR54" s="4"/>
      <c r="BS54" s="4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4"/>
      <c r="CH54" s="3"/>
      <c r="CI54" s="3"/>
      <c r="CJ54" s="3"/>
      <c r="CK54" s="4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4"/>
      <c r="DU54" s="3"/>
      <c r="DW54" s="3"/>
      <c r="DX54" s="3"/>
      <c r="DY54" s="3"/>
      <c r="DZ54" s="3"/>
      <c r="EA54" s="97"/>
    </row>
    <row r="55" spans="2:131">
      <c r="B55" s="62"/>
      <c r="U55" s="6"/>
      <c r="X55" s="6"/>
      <c r="AC55" s="6"/>
      <c r="AE55" s="6"/>
      <c r="AK55" s="32"/>
      <c r="AL55" s="32"/>
      <c r="AM55" s="32"/>
      <c r="AN55" s="6"/>
      <c r="AO55" s="6"/>
      <c r="AP55" s="6"/>
      <c r="AQ55" s="6"/>
      <c r="AR55" s="6"/>
      <c r="AS55" s="6"/>
      <c r="AT55" s="38"/>
      <c r="AU55" s="39"/>
      <c r="AW55" s="39"/>
      <c r="AX55" s="39"/>
      <c r="AY55" s="39"/>
      <c r="AZ55" s="39"/>
      <c r="BA55" s="39"/>
      <c r="BB55" s="39"/>
      <c r="BC55" s="39"/>
      <c r="BD55" s="32"/>
      <c r="BE55" s="32"/>
      <c r="BF55" s="32"/>
      <c r="BG55" s="32"/>
      <c r="BH55" s="32"/>
      <c r="BI55" s="32"/>
      <c r="BJ55" s="3"/>
      <c r="BK55" s="3"/>
      <c r="BL55" s="3"/>
      <c r="BM55" s="3"/>
      <c r="BN55" s="3"/>
      <c r="BO55" s="4"/>
      <c r="BP55" s="3"/>
      <c r="BQ55" s="3"/>
      <c r="BR55" s="4"/>
      <c r="BS55" s="4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4"/>
      <c r="CL55" s="4"/>
      <c r="CM55" s="3"/>
      <c r="CN55" s="2"/>
      <c r="CO55" s="3"/>
      <c r="CP55" s="3"/>
      <c r="CQ55" s="3"/>
      <c r="CR55" s="3"/>
      <c r="CS55" s="3"/>
      <c r="CT55" s="3"/>
      <c r="CU55" s="4"/>
      <c r="CV55" s="3"/>
      <c r="CW55" s="3"/>
      <c r="CX55" s="4"/>
      <c r="CY55" s="4"/>
      <c r="CZ55" s="4"/>
      <c r="DA55" s="3"/>
      <c r="DB55" s="3"/>
      <c r="DC55" s="4"/>
      <c r="DD55" s="3"/>
      <c r="DE55" s="4"/>
      <c r="DF55" s="3"/>
      <c r="DG55" s="3"/>
      <c r="DH55" s="3"/>
      <c r="DI55" s="4"/>
      <c r="DJ55" s="2"/>
      <c r="DK55" s="3"/>
      <c r="DL55" s="3"/>
      <c r="DM55" s="4"/>
      <c r="DN55" s="3"/>
      <c r="DO55" s="3"/>
      <c r="DP55" s="3"/>
      <c r="DQ55" s="3"/>
      <c r="DR55" s="3"/>
      <c r="DS55" s="3"/>
      <c r="DT55" s="4"/>
      <c r="DU55" s="4"/>
      <c r="DW55" s="4"/>
      <c r="DX55" s="4"/>
      <c r="DY55" s="4"/>
      <c r="DZ55" s="4"/>
      <c r="EA55" s="96"/>
    </row>
    <row r="56" spans="2:131">
      <c r="U56" s="6"/>
      <c r="V56" s="32"/>
      <c r="W56" s="9"/>
      <c r="X56" s="6"/>
      <c r="AB56" s="6"/>
      <c r="AC56" s="6"/>
      <c r="AD56" s="32"/>
      <c r="AE56" s="6"/>
      <c r="AF56" s="39"/>
      <c r="AK56" s="32"/>
      <c r="AL56" s="32"/>
      <c r="AM56" s="32"/>
      <c r="AN56" s="6"/>
      <c r="AO56" s="6"/>
      <c r="AP56" s="6"/>
      <c r="AQ56" s="6"/>
      <c r="AR56" s="32"/>
      <c r="AS56" s="32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6"/>
      <c r="BE56" s="32"/>
      <c r="BF56" s="32"/>
      <c r="BG56" s="32"/>
      <c r="BI56" s="32"/>
      <c r="BJ56" s="3"/>
      <c r="BK56" s="3"/>
      <c r="BL56" s="3"/>
      <c r="BM56" s="3"/>
      <c r="BN56" s="3"/>
      <c r="BO56" s="4"/>
      <c r="BP56" s="4"/>
      <c r="BQ56" s="3"/>
      <c r="BR56" s="4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4"/>
      <c r="CH56" s="4"/>
      <c r="CI56" s="4"/>
      <c r="CJ56" s="2"/>
      <c r="CK56" s="4"/>
      <c r="CL56" s="3"/>
      <c r="CM56" s="3"/>
      <c r="CN56" s="4"/>
      <c r="CO56" s="3"/>
      <c r="CP56" s="3"/>
      <c r="CQ56" s="3"/>
      <c r="CR56" s="3"/>
      <c r="CS56" s="3"/>
      <c r="CT56" s="3"/>
      <c r="CU56" s="4"/>
      <c r="CV56" s="3"/>
      <c r="CW56" s="3"/>
      <c r="CX56" s="3"/>
      <c r="CY56" s="3"/>
      <c r="CZ56" s="3"/>
      <c r="DA56" s="3"/>
      <c r="DB56" s="3"/>
      <c r="DC56" s="4"/>
      <c r="DD56" s="4"/>
      <c r="DE56" s="3"/>
      <c r="DF56" s="4"/>
      <c r="DG56" s="3"/>
      <c r="DH56" s="3"/>
      <c r="DI56" s="4"/>
      <c r="DJ56" s="4"/>
      <c r="DK56" s="4"/>
      <c r="DL56" s="3"/>
      <c r="DM56" s="3"/>
      <c r="DN56" s="3"/>
      <c r="DO56" s="3"/>
      <c r="DP56" s="3"/>
      <c r="DQ56" s="3"/>
      <c r="DR56" s="3"/>
      <c r="DS56" s="3"/>
      <c r="DT56" s="4"/>
      <c r="DU56" s="3"/>
      <c r="DW56" s="3"/>
      <c r="DX56" s="3"/>
      <c r="DY56" s="3"/>
      <c r="DZ56" s="3"/>
      <c r="EA56" s="97"/>
    </row>
    <row r="57" spans="2:131">
      <c r="U57" s="6"/>
      <c r="V57" s="32"/>
      <c r="W57" s="9"/>
      <c r="X57" s="6"/>
      <c r="AC57" s="6"/>
      <c r="AD57" s="6"/>
      <c r="AE57" s="6"/>
      <c r="AF57" s="38"/>
      <c r="AK57" s="6"/>
      <c r="AL57" s="6"/>
      <c r="AM57" s="6"/>
      <c r="AN57" s="6"/>
      <c r="AO57" s="6"/>
      <c r="AP57" s="6"/>
      <c r="AQ57" s="6"/>
      <c r="AR57" s="6"/>
      <c r="AS57" s="6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6"/>
      <c r="BE57" s="6"/>
      <c r="BF57" s="6"/>
      <c r="BG57" s="6"/>
      <c r="BH57" s="6"/>
      <c r="BI57" s="6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W57" s="4"/>
      <c r="DX57" s="4"/>
      <c r="DY57" s="4"/>
      <c r="DZ57" s="4"/>
      <c r="EA57" s="96"/>
    </row>
    <row r="58" spans="2:131">
      <c r="U58" s="6"/>
      <c r="V58" s="6"/>
      <c r="W58" s="9"/>
      <c r="X58" s="6"/>
      <c r="AB58" s="6"/>
      <c r="AC58" s="6"/>
      <c r="AD58" s="6"/>
      <c r="AE58" s="32"/>
      <c r="AF58" s="38"/>
      <c r="AK58" s="32"/>
      <c r="AL58" s="32"/>
      <c r="AM58" s="32"/>
      <c r="AN58" s="6"/>
      <c r="AO58" s="6"/>
      <c r="AP58" s="6"/>
      <c r="AQ58" s="6"/>
      <c r="AR58" s="6"/>
      <c r="AS58" s="6"/>
      <c r="AT58" s="39"/>
      <c r="AU58" s="39"/>
      <c r="AV58" s="38"/>
      <c r="AW58" s="38"/>
      <c r="AX58" s="38"/>
      <c r="AY58" s="39"/>
      <c r="AZ58" s="38"/>
      <c r="BA58" s="39"/>
      <c r="BB58" s="39"/>
      <c r="BC58" s="39"/>
      <c r="BD58" s="32"/>
      <c r="BE58" s="32"/>
      <c r="BF58" s="32"/>
      <c r="BG58" s="32"/>
      <c r="BH58" s="32"/>
      <c r="BI58" s="32"/>
      <c r="BJ58" s="3"/>
      <c r="BK58" s="3"/>
      <c r="BL58" s="3"/>
      <c r="BM58" s="3"/>
      <c r="BN58" s="3"/>
      <c r="BO58" s="4"/>
      <c r="BP58" s="3"/>
      <c r="BQ58" s="3"/>
      <c r="BR58" s="4"/>
      <c r="BS58" s="4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4"/>
      <c r="CI58" s="4"/>
      <c r="CJ58" s="3"/>
      <c r="CK58" s="3"/>
      <c r="CL58" s="3"/>
      <c r="CM58" s="3"/>
      <c r="CN58" s="4"/>
      <c r="CO58" s="4"/>
      <c r="CP58" s="3"/>
      <c r="CQ58" s="3"/>
      <c r="CR58" s="4"/>
      <c r="CS58" s="4"/>
      <c r="CT58" s="4"/>
      <c r="CU58" s="3"/>
      <c r="CV58" s="3"/>
      <c r="CW58" s="3"/>
      <c r="CX58" s="4"/>
      <c r="CY58" s="3"/>
      <c r="CZ58" s="3"/>
      <c r="DA58" s="3"/>
      <c r="DB58" s="4"/>
      <c r="DC58" s="3"/>
      <c r="DD58" s="4"/>
      <c r="DE58" s="3"/>
      <c r="DF58" s="3"/>
      <c r="DG58" s="3"/>
      <c r="DH58" s="3"/>
      <c r="DI58" s="4"/>
      <c r="DJ58" s="3"/>
      <c r="DK58" s="3"/>
      <c r="DL58" s="3"/>
      <c r="DM58" s="4"/>
      <c r="DN58" s="3"/>
      <c r="DO58" s="3"/>
      <c r="DP58" s="3"/>
      <c r="DQ58" s="3"/>
      <c r="DR58" s="3"/>
      <c r="DS58" s="3"/>
      <c r="DT58" s="4"/>
      <c r="DU58" s="3"/>
      <c r="DW58" s="3"/>
      <c r="DX58" s="3"/>
      <c r="DY58" s="3"/>
      <c r="DZ58" s="3"/>
      <c r="EA58" s="97"/>
    </row>
    <row r="59" spans="2:131">
      <c r="U59" s="6"/>
      <c r="V59" s="6"/>
      <c r="W59" s="9"/>
      <c r="X59" s="6"/>
      <c r="AB59" s="6"/>
      <c r="AC59" s="6"/>
      <c r="AD59" s="32"/>
      <c r="AE59" s="32"/>
      <c r="AF59" s="39"/>
      <c r="AK59" s="32"/>
      <c r="AL59" s="32"/>
      <c r="AM59" s="32"/>
      <c r="AN59" s="6"/>
      <c r="AO59" s="6"/>
      <c r="AP59" s="6"/>
      <c r="AQ59" s="32"/>
      <c r="AR59" s="32"/>
      <c r="AS59" s="32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2"/>
      <c r="BE59" s="32"/>
      <c r="BF59" s="32"/>
      <c r="BG59" s="32"/>
      <c r="BH59" s="32"/>
      <c r="BI59" s="32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4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4"/>
      <c r="DD59" s="4"/>
      <c r="DE59" s="4"/>
      <c r="DF59" s="3"/>
      <c r="DG59" s="3"/>
      <c r="DH59" s="3"/>
      <c r="DI59" s="4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2"/>
      <c r="DU59" s="3"/>
      <c r="DW59" s="3"/>
      <c r="DX59" s="3"/>
      <c r="DY59" s="3"/>
      <c r="DZ59" s="3"/>
      <c r="EA59" s="97"/>
    </row>
  </sheetData>
  <autoFilter ref="B4:GP20" xr:uid="{03F24B27-F672-44B2-8603-F0E83E1332C1}"/>
  <mergeCells count="31">
    <mergeCell ref="CN3:CT3"/>
    <mergeCell ref="T3:BC3"/>
    <mergeCell ref="T2:DV2"/>
    <mergeCell ref="I2:K2"/>
    <mergeCell ref="CG3:CJ3"/>
    <mergeCell ref="GJ3:GL3"/>
    <mergeCell ref="FC3:FN3"/>
    <mergeCell ref="EB2:EI2"/>
    <mergeCell ref="FO3:FT3"/>
    <mergeCell ref="FU3:GI3"/>
    <mergeCell ref="EO3:FB3"/>
    <mergeCell ref="EF3:EI3"/>
    <mergeCell ref="EB3:EE3"/>
    <mergeCell ref="EJ2:GO2"/>
    <mergeCell ref="GM3:GO3"/>
    <mergeCell ref="DW3:DY3"/>
    <mergeCell ref="O3:P3"/>
    <mergeCell ref="DW2:DZ2"/>
    <mergeCell ref="EJ3:EN3"/>
    <mergeCell ref="BJ3:BU3"/>
    <mergeCell ref="BV3:BZ3"/>
    <mergeCell ref="CA3:CF3"/>
    <mergeCell ref="CX3:DB3"/>
    <mergeCell ref="DC3:DG3"/>
    <mergeCell ref="CU3:CW3"/>
    <mergeCell ref="DL3:DM3"/>
    <mergeCell ref="DN3:DU3"/>
    <mergeCell ref="DH3:DK3"/>
    <mergeCell ref="L2:S2"/>
    <mergeCell ref="L3:N3"/>
    <mergeCell ref="CK3:CM3"/>
  </mergeCells>
  <phoneticPr fontId="2"/>
  <conditionalFormatting sqref="C9:C1048576 C1:C4">
    <cfRule type="duplicateValues" dxfId="47" priority="45"/>
  </conditionalFormatting>
  <conditionalFormatting sqref="C56:C90">
    <cfRule type="duplicateValues" dxfId="46" priority="46"/>
  </conditionalFormatting>
  <conditionalFormatting sqref="C83:C90 C75:C81 C73 C56:C71">
    <cfRule type="duplicateValues" dxfId="45" priority="47"/>
  </conditionalFormatting>
  <conditionalFormatting sqref="D9:D1048576 D1:D4">
    <cfRule type="duplicateValues" dxfId="44" priority="17"/>
    <cfRule type="duplicateValues" dxfId="43" priority="42"/>
    <cfRule type="duplicateValues" dxfId="42" priority="49"/>
  </conditionalFormatting>
  <conditionalFormatting sqref="D58:D61">
    <cfRule type="duplicateValues" dxfId="41" priority="18"/>
    <cfRule type="duplicateValues" dxfId="40" priority="19"/>
    <cfRule type="duplicateValues" dxfId="39" priority="20"/>
    <cfRule type="duplicateValues" dxfId="38" priority="21"/>
    <cfRule type="duplicateValues" dxfId="37" priority="22"/>
    <cfRule type="duplicateValues" dxfId="36" priority="23"/>
    <cfRule type="duplicateValues" dxfId="35" priority="24"/>
    <cfRule type="duplicateValues" dxfId="34" priority="25"/>
    <cfRule type="duplicateValues" dxfId="33" priority="26"/>
    <cfRule type="duplicateValues" dxfId="32" priority="27"/>
    <cfRule type="duplicateValues" dxfId="31" priority="28"/>
    <cfRule type="duplicateValues" dxfId="30" priority="29"/>
    <cfRule type="duplicateValues" dxfId="29" priority="30"/>
    <cfRule type="duplicateValues" dxfId="28" priority="31"/>
    <cfRule type="duplicateValues" dxfId="27" priority="32"/>
    <cfRule type="duplicateValues" dxfId="26" priority="33"/>
    <cfRule type="duplicateValues" dxfId="25" priority="34"/>
    <cfRule type="duplicateValues" dxfId="24" priority="35"/>
    <cfRule type="duplicateValues" dxfId="23" priority="36"/>
    <cfRule type="duplicateValues" dxfId="22" priority="37"/>
    <cfRule type="duplicateValues" dxfId="21" priority="38"/>
    <cfRule type="duplicateValues" dxfId="20" priority="39"/>
    <cfRule type="duplicateValues" dxfId="19" priority="40"/>
    <cfRule type="duplicateValues" dxfId="18" priority="41"/>
  </conditionalFormatting>
  <conditionalFormatting sqref="D62:D91">
    <cfRule type="duplicateValues" dxfId="17" priority="44"/>
  </conditionalFormatting>
  <conditionalFormatting sqref="D62:D100">
    <cfRule type="duplicateValues" dxfId="16" priority="43"/>
  </conditionalFormatting>
  <conditionalFormatting sqref="C6">
    <cfRule type="duplicateValues" dxfId="15" priority="15"/>
  </conditionalFormatting>
  <conditionalFormatting sqref="D6">
    <cfRule type="duplicateValues" dxfId="14" priority="13"/>
    <cfRule type="duplicateValues" dxfId="13" priority="14"/>
    <cfRule type="duplicateValues" dxfId="12" priority="16"/>
  </conditionalFormatting>
  <conditionalFormatting sqref="C5">
    <cfRule type="duplicateValues" dxfId="11" priority="11"/>
  </conditionalFormatting>
  <conditionalFormatting sqref="D5">
    <cfRule type="duplicateValues" dxfId="10" priority="9"/>
    <cfRule type="duplicateValues" dxfId="9" priority="10"/>
    <cfRule type="duplicateValues" dxfId="8" priority="12"/>
  </conditionalFormatting>
  <conditionalFormatting sqref="C8">
    <cfRule type="duplicateValues" dxfId="7" priority="7"/>
  </conditionalFormatting>
  <conditionalFormatting sqref="D8">
    <cfRule type="duplicateValues" dxfId="6" priority="5"/>
    <cfRule type="duplicateValues" dxfId="5" priority="6"/>
    <cfRule type="duplicateValues" dxfId="4" priority="8"/>
  </conditionalFormatting>
  <conditionalFormatting sqref="C7">
    <cfRule type="duplicateValues" dxfId="3" priority="3"/>
  </conditionalFormatting>
  <conditionalFormatting sqref="D7">
    <cfRule type="duplicateValues" dxfId="2" priority="1"/>
    <cfRule type="duplicateValues" dxfId="1" priority="2"/>
    <cfRule type="duplicateValues" dxfId="0" priority="4"/>
  </conditionalFormatting>
  <dataValidations count="5">
    <dataValidation type="list" allowBlank="1" showInputMessage="1" showErrorMessage="1" sqref="H18:K20" xr:uid="{D28ACF04-A02E-4ABE-8752-9AF7006621F7}">
      <formula1>"シニア,ミドル,ジュニア"</formula1>
    </dataValidation>
    <dataValidation type="list" allowBlank="1" showInputMessage="1" showErrorMessage="1" sqref="AL23:AX23 AF23 EF15:EH16 T23 AD23 AZ23:BC23 BG23 BE23 BI23:DC23 EB15:ED16" xr:uid="{7BD826C5-3764-4E26-9EB2-23B8632A75B1}">
      <formula1>"o,◊,-"</formula1>
    </dataValidation>
    <dataValidation type="list" allowBlank="1" showInputMessage="1" showErrorMessage="1" sqref="EE15:EE16" xr:uid="{7AB1B937-AADB-4671-9D90-C681F3A7CDEB}">
      <formula1>"o,-"</formula1>
    </dataValidation>
    <dataValidation type="list" allowBlank="1" showInputMessage="1" showErrorMessage="1" sqref="EI14:EI16 EI5:EI11" xr:uid="{DAB6C94E-199A-4A0C-A2B7-A731A25DEBBB}">
      <formula1>"-,Native,N1,N2,N3,N4,N5"</formula1>
    </dataValidation>
    <dataValidation type="list" allowBlank="1" showInputMessage="1" showErrorMessage="1" sqref="FN10:FN11 FY10:GO12 EO10:FL11 FM9:FM11 FO10:FW12 FY14:GO16 EO14:FW16 GM6 FY5:GO5 EO5:FW5 FY7:GO8 EO7:FW8 FX6" xr:uid="{9F055404-0932-443E-925F-E1AC0CB428B6}">
      <formula1>"No, Yes"</formula1>
    </dataValidation>
  </dataValidations>
  <pageMargins left="0.7" right="0.7" top="0.75" bottom="0.75" header="0.3" footer="0.3"/>
  <pageSetup paperSize="9" orientation="portrait" horizont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B3A21EF7EFA498F6C5C3C2B7D5842" ma:contentTypeVersion="4" ma:contentTypeDescription="Create a new document." ma:contentTypeScope="" ma:versionID="99338f820fdbb70fed8b753860cacdb0">
  <xsd:schema xmlns:xsd="http://www.w3.org/2001/XMLSchema" xmlns:xs="http://www.w3.org/2001/XMLSchema" xmlns:p="http://schemas.microsoft.com/office/2006/metadata/properties" xmlns:ns2="26ba261b-b49a-4ef3-868c-d49889c35740" targetNamespace="http://schemas.microsoft.com/office/2006/metadata/properties" ma:root="true" ma:fieldsID="a17f36446e0d466d912128b1adf1f760" ns2:_="">
    <xsd:import namespace="26ba261b-b49a-4ef3-868c-d49889c357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ba261b-b49a-4ef3-868c-d49889c357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95D4D3-8F5C-4DE4-BF4C-1F954FAD2858}"/>
</file>

<file path=customXml/itemProps2.xml><?xml version="1.0" encoding="utf-8"?>
<ds:datastoreItem xmlns:ds="http://schemas.openxmlformats.org/officeDocument/2006/customXml" ds:itemID="{97890E1E-EAC8-4282-B5FE-8E0EF89EF327}"/>
</file>

<file path=customXml/itemProps3.xml><?xml version="1.0" encoding="utf-8"?>
<ds:datastoreItem xmlns:ds="http://schemas.openxmlformats.org/officeDocument/2006/customXml" ds:itemID="{A759B7EB-CA9C-45E0-A532-0DD3C11311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Shato, Zurianna Binti</dc:creator>
  <cp:keywords/>
  <dc:description/>
  <cp:lastModifiedBy/>
  <cp:revision/>
  <dcterms:created xsi:type="dcterms:W3CDTF">2022-09-09T05:14:22Z</dcterms:created>
  <dcterms:modified xsi:type="dcterms:W3CDTF">2024-11-28T20:42:32Z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2022-09-09T05:14:23Z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a23669a9-b085-45e2-8b29-895bd4137e79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0x010100E23B3A21EF7EFA498F6C5C3C2B7D5842</vt:lpwstr>
  </property>
  <property fmtid="{D5CDD505-2E9C-101B-9397-08002B2CF9AE}" pid="10" name="MediaServiceImageTags">
    <vt:lpwstr/>
  </property>
  <property fmtid="{D5CDD505-2E9C-101B-9397-08002B2CF9AE}" pid="11" name="WorkbookGuid">
    <vt:lpwstr>d830df19-0f33-4625-b36b-7614e6848cb6</vt:lpwstr>
  </property>
</Properties>
</file>